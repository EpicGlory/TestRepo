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terials Catalog" sheetId="3" state="visible" r:id="rId3"/>
    <sheet xmlns:r="http://schemas.openxmlformats.org/officeDocument/2006/relationships" name="Summer Services" sheetId="4" state="visible" r:id="rId4"/>
    <sheet xmlns:r="http://schemas.openxmlformats.org/officeDocument/2006/relationships" name="Sprinkler Services" sheetId="5" state="visible" r:id="rId5"/>
    <sheet xmlns:r="http://schemas.openxmlformats.org/officeDocument/2006/relationships" name="Overseeding" sheetId="6" state="visible" r:id="rId6"/>
    <sheet xmlns:r="http://schemas.openxmlformats.org/officeDocument/2006/relationships" name="Phase 1 - Kill" sheetId="7" state="visible" r:id="rId7"/>
    <sheet xmlns:r="http://schemas.openxmlformats.org/officeDocument/2006/relationships" name="Phase 2 - Prep" sheetId="8" state="visible" r:id="rId8"/>
    <sheet xmlns:r="http://schemas.openxmlformats.org/officeDocument/2006/relationships" name="Phase 3 - Seed" sheetId="9" state="visible" r:id="rId9"/>
    <sheet xmlns:r="http://schemas.openxmlformats.org/officeDocument/2006/relationships" name="Phase 4 - Establish" sheetId="10" state="visible" r:id="rId10"/>
    <sheet xmlns:r="http://schemas.openxmlformats.org/officeDocument/2006/relationships" name="Project Total" sheetId="11" state="visible" r:id="rId11"/>
  </sheets>
  <definedNames>
    <definedName name="LawnSize">Assumptions!$B$3</definedName>
    <definedName name="Markup">Assumptions!$B$4</definedName>
    <definedName name="LaborRate">Assumptions!$B$5</definedName>
    <definedName name="SalesTax">Assumptions!$B$6</definedName>
    <definedName name="TripFee">Assumptions!$B$7</definedName>
    <definedName name="P1Hrs">Assumptions!$B$8</definedName>
    <definedName name="P2Hrs">Assumptions!$B$9</definedName>
    <definedName name="P3Hrs">Assumptions!$B$10</definedName>
    <definedName name="P4Hrs">Assumptions!$B$11</definedName>
    <definedName name="P1Mob">Assumptions!$B$12</definedName>
    <definedName name="P2Mob">Assumptions!$B$13</definedName>
    <definedName name="P3Mob">Assumptions!$B$14</definedName>
    <definedName name="P4Mob">Assumptions!$B$15</definedName>
    <definedName name="VisitsPerSeason">Assumptions!$B$16</definedName>
    <definedName name="VisitHrs">Assumptions!$B$17</definedName>
    <definedName name="VisitMob">Assumptions!$B$18</definedName>
    <definedName name="AppHrs">Assumptions!$B$19</definedName>
    <definedName name="AppMob">Assumptions!$B$20</definedName>
    <definedName name="OvsHrs">Assumptions!$B$21</definedName>
    <definedName name="OvsMob">Assumptions!$B$22</definedName>
    <definedName name="SprAudHrs">Assumptions!$B$23</definedName>
    <definedName name="SprHeadHrs">Assumptions!$B$24</definedName>
    <definedName name="BHyveHrs">Assumptions!$B$25</definedName>
    <definedName name="Glyphosate">'Materials Catalog'!$I$3</definedName>
    <definedName name="Surfactant">'Materials Catalog'!$I$4</definedName>
    <definedName name="Tenacity">'Materials Catalog'!$I$5</definedName>
    <definedName name="Seed">'Materials Catalog'!$I$6</definedName>
    <definedName name="Starter">'Materials Catalog'!$I$7</definedName>
    <definedName name="Peat">'Materials Catalog'!$I$8</definedName>
    <definedName name="Milo">'Materials Catalog'!$I$9</definedName>
    <definedName name="PreEm">'Materials Catalog'!$I$10</definedName>
    <definedName name="SlowFert">'Materials Catalog'!$I$11</definedName>
    <definedName name="KBoost">'Materials Catalog'!$I$12</definedName>
    <definedName name="Iron">'Materials Catalog'!$I$13</definedName>
    <definedName name="Humic">'Materials Catalog'!$I$14</definedName>
    <definedName name="Kelp">'Materials Catalog'!$I$15</definedName>
    <definedName name="Hydretain">'Materials Catalog'!$I$16</definedName>
    <definedName name="RGS">'Materials Catalog'!$I$17</definedName>
    <definedName name="Grub">'Materials Catalog'!$I$18</definedName>
    <definedName name="Winter">'Materials Catalog'!$I$19</definedName>
    <definedName name="Fungicide">'Materials Catalog'!$I$20</definedName>
    <definedName name="SoilLab">'Materials Catalog'!$I$21</definedName>
    <definedName name="Sprayer">'Materials Catalog'!$I$24</definedName>
    <definedName name="Aerator">'Materials Catalog'!$I$25</definedName>
    <definedName name="Dethatcher">'Materials Catalog'!$I$26</definedName>
    <definedName name="SprHead">'Materials Catalog'!$I$27</definedName>
    <definedName name="SprRotor">'Materials Catalog'!$I$28</definedName>
    <definedName name="SprValve">'Materials Catalog'!$I$29</definedName>
    <definedName name="BHyve">'Materials Catalog'!$I$30</definedName>
    <definedName name="P1_Total">'Phase 1 - Kill'!$F$21</definedName>
    <definedName name="P1_Mat">'Phase 1 - Kill'!$F13</definedName>
    <definedName name="P1_Lab">'Phase 1 - Kill'!$F19</definedName>
    <definedName name="P2_Total">'Phase 2 - Prep'!$F$20</definedName>
    <definedName name="P2_Mat">'Phase 2 - Prep'!$F12</definedName>
    <definedName name="P2_Lab">'Phase 2 - Prep'!$F18</definedName>
    <definedName name="P3_Total">'Phase 3 - Seed'!$F$21</definedName>
    <definedName name="P3_Mat">'Phase 3 - Seed'!$F13</definedName>
    <definedName name="P3_Lab">'Phase 3 - Seed'!$F19</definedName>
    <definedName name="P4_Total">'Phase 4 - Establish'!$F$19</definedName>
    <definedName name="P4_Mat">'Phase 4 - Establish'!$F11</definedName>
    <definedName name="P4_Lab">'Phase 4 - Establish'!$F17</definedName>
    <definedName name="Summer_Total">'Summer Services'!$F$31</definedName>
    <definedName name="Sprinkler_Total">'Sprinkler Services'!$H$12</definedName>
    <definedName name="OVE_Total">'Overseeding'!$F$24</definedName>
    <definedName name="OVE_Mat">'Overseeding'!$F16</definedName>
    <definedName name="OVE_Lab">'Overseeding'!$F22</definedName>
    <definedName name="GrandTotal">'Project Total'!$E$10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$&quot;#,##0.00"/>
    <numFmt numFmtId="166" formatCode="0.0"/>
    <numFmt numFmtId="167" formatCode="&quot;$&quot;#,##0.0000"/>
    <numFmt numFmtId="168" formatCode="#,##0&quot; sq ft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sz val="11"/>
    </font>
    <font>
      <name val="Calibri"/>
      <b val="1"/>
      <color rgb="000000AA"/>
      <sz val="11"/>
    </font>
    <font>
      <name val="Calibri"/>
      <i val="1"/>
      <color rgb="00666666"/>
      <sz val="9"/>
    </font>
    <font>
      <name val="Calibri"/>
      <b val="1"/>
      <color rgb="001B4D1F"/>
      <sz val="12"/>
    </font>
    <font>
      <name val="Calibri"/>
      <b val="1"/>
      <color rgb="00FFFFFF"/>
      <sz val="12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B4D1F"/>
      </patternFill>
    </fill>
    <fill>
      <patternFill patternType="solid">
        <fgColor rgb="00A5D6A7"/>
      </patternFill>
    </fill>
    <fill>
      <patternFill patternType="solid">
        <fgColor rgb="00FFF8E1"/>
      </patternFill>
    </fill>
    <fill>
      <patternFill patternType="solid">
        <fgColor rgb="002E7D32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medium">
        <color rgb="002C2C2C"/>
      </bottom>
    </border>
    <border>
      <left/>
      <right/>
      <top/>
      <bottom style="medium">
        <color rgb="002C2C2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8" fontId="0" fillId="0" borderId="0" pivotButton="0" quotePrefix="0" xfId="0"/>
    <xf numFmtId="0" fontId="7" fillId="5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7" fillId="2" borderId="0" pivotButton="0" quotePrefix="0" xfId="0"/>
    <xf numFmtId="0" fontId="0" fillId="2" borderId="0" pivotButton="0" quotePrefix="0" xfId="0"/>
    <xf numFmtId="165" fontId="7" fillId="2" borderId="0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3" borderId="0" pivotButton="0" quotePrefix="0" xfId="0"/>
    <xf numFmtId="3" fontId="3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2" fontId="3" fillId="4" borderId="0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6" fillId="5" borderId="0" applyAlignment="1" pivotButton="0" quotePrefix="0" xfId="0">
      <alignment horizontal="right" vertical="center"/>
    </xf>
    <xf numFmtId="0" fontId="0" fillId="0" borderId="1" pivotButton="0" quotePrefix="0" xfId="0"/>
    <xf numFmtId="1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D1F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1" t="inlineStr">
        <is>
          <t>Clean and Green Turf  |  Lawn Renovation Proposal</t>
        </is>
      </c>
    </row>
    <row r="2">
      <c r="B2" s="2" t="inlineStr">
        <is>
          <t>Project</t>
        </is>
      </c>
      <c r="C2" s="3" t="inlineStr">
        <is>
          <t>Kill &amp; Reseed Lawn Renovation</t>
        </is>
      </c>
    </row>
    <row r="3">
      <c r="B3" s="2" t="inlineStr">
        <is>
          <t>Method</t>
        </is>
      </c>
      <c r="C3" s="3" t="inlineStr">
        <is>
          <t>The Lawn Care Nut (Allyn Hane) renovation protocol</t>
        </is>
      </c>
    </row>
    <row r="4">
      <c r="B4" s="2" t="inlineStr">
        <is>
          <t>Lawn Size</t>
        </is>
      </c>
      <c r="C4" s="4">
        <f>LawnSize</f>
        <v/>
      </c>
    </row>
    <row r="5">
      <c r="B5" s="2" t="inlineStr">
        <is>
          <t>Hero Seed</t>
        </is>
      </c>
      <c r="C5" s="3" t="inlineStr">
        <is>
          <t>Valkyrie Tall Fescue (United Seeds) @ 10 lb / 1,000 sq ft</t>
        </is>
      </c>
    </row>
    <row r="6">
      <c r="B6" s="2" t="inlineStr">
        <is>
          <t>Date</t>
        </is>
      </c>
      <c r="C6" s="3" t="inlineStr"/>
    </row>
    <row r="8" ht="22" customHeight="1">
      <c r="A8" s="5" t="inlineStr">
        <is>
          <t>Phase-by-Phase Investment</t>
        </is>
      </c>
    </row>
    <row r="9">
      <c r="A9" s="6" t="inlineStr">
        <is>
          <t>#</t>
        </is>
      </c>
      <c r="B9" s="6" t="inlineStr">
        <is>
          <t>Phase</t>
        </is>
      </c>
      <c r="C9" s="6" t="inlineStr">
        <is>
          <t>Materials (w/ markup)</t>
        </is>
      </c>
      <c r="D9" s="6" t="inlineStr">
        <is>
          <t>Labor</t>
        </is>
      </c>
      <c r="E9" s="6" t="inlineStr">
        <is>
          <t>Phase Total</t>
        </is>
      </c>
    </row>
    <row r="10">
      <c r="A10" s="7" t="inlineStr">
        <is>
          <t>1</t>
        </is>
      </c>
      <c r="B10" s="8" t="inlineStr">
        <is>
          <t>Phase 1 - Kill (glyphosate burn-down)</t>
        </is>
      </c>
      <c r="C10" s="9">
        <f>P1_Mat*(1+Markup)</f>
        <v/>
      </c>
      <c r="D10" s="9">
        <f>P1_Lab</f>
        <v/>
      </c>
      <c r="E10" s="10">
        <f>P1_Total</f>
        <v/>
      </c>
    </row>
    <row r="11">
      <c r="A11" s="7" t="inlineStr">
        <is>
          <t>2</t>
        </is>
      </c>
      <c r="B11" s="8" t="inlineStr">
        <is>
          <t>Phase 2 - Prep (scalp, dethatch, aerate)</t>
        </is>
      </c>
      <c r="C11" s="9">
        <f>P2_Mat*(1+Markup)</f>
        <v/>
      </c>
      <c r="D11" s="9">
        <f>P2_Lab</f>
        <v/>
      </c>
      <c r="E11" s="10">
        <f>P2_Total</f>
        <v/>
      </c>
    </row>
    <row r="12">
      <c r="A12" s="7" t="inlineStr">
        <is>
          <t>3</t>
        </is>
      </c>
      <c r="B12" s="8" t="inlineStr">
        <is>
          <t>Phase 3 - Seed + Starter + Tenacity</t>
        </is>
      </c>
      <c r="C12" s="9">
        <f>P3_Mat*(1+Markup)</f>
        <v/>
      </c>
      <c r="D12" s="9">
        <f>P3_Lab</f>
        <v/>
      </c>
      <c r="E12" s="10">
        <f>P3_Total</f>
        <v/>
      </c>
    </row>
    <row r="13">
      <c r="A13" s="7" t="inlineStr">
        <is>
          <t>4</t>
        </is>
      </c>
      <c r="B13" s="8" t="inlineStr">
        <is>
          <t>Phase 4 - Establishment + follow-up</t>
        </is>
      </c>
      <c r="C13" s="9">
        <f>P4_Mat*(1+Markup)</f>
        <v/>
      </c>
      <c r="D13" s="9">
        <f>P4_Lab</f>
        <v/>
      </c>
      <c r="E13" s="10">
        <f>P4_Total</f>
        <v/>
      </c>
    </row>
    <row r="15" ht="28" customHeight="1">
      <c r="B15" s="11" t="inlineStr">
        <is>
          <t>TOTAL PROJECT INVESTMENT</t>
        </is>
      </c>
      <c r="C15" s="12" t="n"/>
      <c r="D15" s="12" t="n"/>
      <c r="E15" s="13">
        <f>GrandTotal</f>
        <v/>
      </c>
    </row>
    <row r="18" ht="22" customHeight="1">
      <c r="A18" s="5" t="inlineStr">
        <is>
          <t>What's Included</t>
        </is>
      </c>
    </row>
    <row r="19">
      <c r="B19" s="3" t="inlineStr">
        <is>
          <t>•  Two glyphosate burn-down applications with pump-sprayer mix and labor</t>
        </is>
      </c>
    </row>
    <row r="20">
      <c r="B20" s="3" t="inlineStr">
        <is>
          <t>•  Power dethatching and core aeration of the prepared seedbed</t>
        </is>
      </c>
    </row>
    <row r="21">
      <c r="B21" s="3" t="inlineStr">
        <is>
          <t>•  Premium Valkyrie tall fescue seed, broadcast at 10 lb / 1,000 sq ft</t>
        </is>
      </c>
    </row>
    <row r="22">
      <c r="B22" s="3" t="inlineStr">
        <is>
          <t>•  Scotts starter fertilizer (24-25-4) applied at seeding</t>
        </is>
      </c>
    </row>
    <row r="23">
      <c r="B23" s="3" t="inlineStr">
        <is>
          <t>•  Tenacity (mesotrione) at-seeding application + 30-day follow-up</t>
        </is>
      </c>
    </row>
    <row r="24">
      <c r="B24" s="3" t="inlineStr">
        <is>
          <t>•  Peat moss top-dressing for moisture retention</t>
        </is>
      </c>
    </row>
    <row r="25">
      <c r="B25" s="3" t="inlineStr">
        <is>
          <t>•  Milorganite follow-up feeding at week 4-6</t>
        </is>
      </c>
    </row>
    <row r="26">
      <c r="B26" s="3" t="inlineStr">
        <is>
          <t>•  Written watering and mowing schedule, plus 30-day callback guarantee</t>
        </is>
      </c>
    </row>
    <row r="28" ht="22" customHeight="1">
      <c r="A28" s="5" t="inlineStr">
        <is>
          <t>Terms</t>
        </is>
      </c>
    </row>
    <row r="29">
      <c r="B29" s="3" t="inlineStr">
        <is>
          <t>•  Quote valid for 30 days from date of issue.</t>
        </is>
      </c>
    </row>
    <row r="30">
      <c r="B30" s="3" t="inlineStr">
        <is>
          <t>•  50% deposit due at signing; balance due upon completion of Phase 4.</t>
        </is>
      </c>
    </row>
    <row r="31">
      <c r="B31" s="3" t="inlineStr">
        <is>
          <t>•  Customer is responsible for daily watering per the schedule provided.</t>
        </is>
      </c>
    </row>
    <row r="32">
      <c r="B32" s="3" t="inlineStr">
        <is>
          <t>•  Material prices subject to change if vendor pricing moves more than 10% before scheduling.</t>
        </is>
      </c>
    </row>
    <row r="33">
      <c r="B33" s="3" t="inlineStr">
        <is>
          <t>•  30-day callback: any bare patch larger than 4 sq ft will be re-seeded at no additional charge.</t>
        </is>
      </c>
    </row>
    <row r="36" ht="22" customHeight="1">
      <c r="A36" s="5" t="inlineStr">
        <is>
          <t>Acceptance &amp; Signature</t>
        </is>
      </c>
    </row>
    <row r="38">
      <c r="B38" s="14" t="inlineStr">
        <is>
          <t>By signing below, customer accepts the scope, timing, and total above.</t>
        </is>
      </c>
    </row>
    <row r="40">
      <c r="B40" s="2" t="inlineStr">
        <is>
          <t>Customer Signature</t>
        </is>
      </c>
      <c r="D40" s="2" t="inlineStr">
        <is>
          <t>Date</t>
        </is>
      </c>
    </row>
    <row r="41" ht="28" customHeight="1">
      <c r="B41" s="15" t="n"/>
      <c r="C41" s="16" t="n"/>
      <c r="D41" s="15" t="n"/>
      <c r="E41" s="16" t="n"/>
    </row>
    <row r="42">
      <c r="B42" s="2" t="inlineStr">
        <is>
          <t>Printed Name</t>
        </is>
      </c>
    </row>
    <row r="43" ht="24" customHeight="1">
      <c r="B43" s="15" t="n"/>
      <c r="C43" s="16" t="n"/>
    </row>
    <row r="45">
      <c r="B45" s="2" t="inlineStr">
        <is>
          <t>Clean and Green Turf, LLC - Authorized Representative</t>
        </is>
      </c>
      <c r="D45" s="2" t="inlineStr">
        <is>
          <t>Date</t>
        </is>
      </c>
    </row>
    <row r="46" ht="28" customHeight="1">
      <c r="B46" s="15" t="n"/>
      <c r="C46" s="16" t="n"/>
      <c r="D46" s="15" t="n"/>
      <c r="E46" s="16" t="n"/>
    </row>
  </sheetData>
  <mergeCells count="24">
    <mergeCell ref="B30:E30"/>
    <mergeCell ref="B46:C46"/>
    <mergeCell ref="B33:E33"/>
    <mergeCell ref="A1:E1"/>
    <mergeCell ref="D46:E46"/>
    <mergeCell ref="B24:E24"/>
    <mergeCell ref="A36:E36"/>
    <mergeCell ref="B20:E20"/>
    <mergeCell ref="B43:C43"/>
    <mergeCell ref="B32:E32"/>
    <mergeCell ref="B26:E26"/>
    <mergeCell ref="B25:E25"/>
    <mergeCell ref="D41:E41"/>
    <mergeCell ref="A18:E18"/>
    <mergeCell ref="B22:E22"/>
    <mergeCell ref="B31:E31"/>
    <mergeCell ref="B21:E21"/>
    <mergeCell ref="A8:E8"/>
    <mergeCell ref="B23:E23"/>
    <mergeCell ref="A28:E28"/>
    <mergeCell ref="B38:E38"/>
    <mergeCell ref="B29:E29"/>
    <mergeCell ref="B19:E19"/>
    <mergeCell ref="B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50" customWidth="1" min="4" max="4"/>
  </cols>
  <sheetData>
    <row r="1" ht="32" customHeight="1">
      <c r="A1" s="1" t="inlineStr">
        <is>
          <t>Assumptions  |  Clean and Green Turf  |  Renovation and Lawn Care</t>
        </is>
      </c>
    </row>
    <row r="2">
      <c r="A2" s="17" t="inlineStr">
        <is>
          <t>Driver</t>
        </is>
      </c>
      <c r="B2" s="17" t="inlineStr">
        <is>
          <t>Value</t>
        </is>
      </c>
      <c r="C2" s="17" t="inlineStr">
        <is>
          <t>Unit</t>
        </is>
      </c>
      <c r="D2" s="17" t="inlineStr">
        <is>
          <t>Notes</t>
        </is>
      </c>
    </row>
    <row r="3">
      <c r="A3" s="2" t="inlineStr">
        <is>
          <t>Lawn Size</t>
        </is>
      </c>
      <c r="B3" s="18" t="n">
        <v>5000</v>
      </c>
      <c r="C3" s="19" t="inlineStr">
        <is>
          <t>sq ft</t>
        </is>
      </c>
      <c r="D3" s="14" t="inlineStr">
        <is>
          <t>Edit this cell to re-quote any lawn.</t>
        </is>
      </c>
    </row>
    <row r="4">
      <c r="A4" s="2" t="inlineStr">
        <is>
          <t>Material Markup</t>
        </is>
      </c>
      <c r="B4" s="20" t="n">
        <v>0.3</v>
      </c>
      <c r="C4" s="19" t="inlineStr">
        <is>
          <t>%</t>
        </is>
      </c>
      <c r="D4" s="14" t="inlineStr">
        <is>
          <t>30% markup applied to material cost.</t>
        </is>
      </c>
    </row>
    <row r="5">
      <c r="A5" s="2" t="inlineStr">
        <is>
          <t>Labor Rate</t>
        </is>
      </c>
      <c r="B5" s="21" t="n">
        <v>75</v>
      </c>
      <c r="C5" s="19" t="inlineStr">
        <is>
          <t>$/hour</t>
        </is>
      </c>
      <c r="D5" s="14" t="inlineStr">
        <is>
          <t>Blended hourly rate for technician labor.</t>
        </is>
      </c>
    </row>
    <row r="6">
      <c r="A6" s="2" t="inlineStr">
        <is>
          <t>Sales Tax (materials)</t>
        </is>
      </c>
      <c r="B6" s="20" t="n">
        <v>0</v>
      </c>
      <c r="C6" s="19" t="inlineStr">
        <is>
          <t>%</t>
        </is>
      </c>
      <c r="D6" s="14" t="inlineStr">
        <is>
          <t>Set if you collect tax on materials.</t>
        </is>
      </c>
    </row>
    <row r="7">
      <c r="A7" s="2" t="inlineStr">
        <is>
          <t>Trip / Mobilization Fee</t>
        </is>
      </c>
      <c r="B7" s="21" t="n">
        <v>0</v>
      </c>
      <c r="C7" s="19" t="inlineStr">
        <is>
          <t>$</t>
        </is>
      </c>
      <c r="D7" s="14" t="inlineStr">
        <is>
          <t>Optional flat fee per visit; set to 0 if rolled into labor.</t>
        </is>
      </c>
    </row>
    <row r="8">
      <c r="A8" s="2" t="inlineStr">
        <is>
          <t>Phase 1 Labor (per 1,000 sq ft)</t>
        </is>
      </c>
      <c r="B8" s="22" t="n">
        <v>0.5</v>
      </c>
      <c r="C8" s="19" t="inlineStr">
        <is>
          <t>hours</t>
        </is>
      </c>
      <c r="D8" s="14" t="inlineStr">
        <is>
          <t>Mix + spray glyphosate; 2 visits at 0.25 hr each.</t>
        </is>
      </c>
    </row>
    <row r="9">
      <c r="A9" s="2" t="inlineStr">
        <is>
          <t>Phase 2 Labor (per 1,000 sq ft)</t>
        </is>
      </c>
      <c r="B9" s="22" t="n">
        <v>1.5</v>
      </c>
      <c r="C9" s="19" t="inlineStr">
        <is>
          <t>hours</t>
        </is>
      </c>
      <c r="D9" s="14" t="inlineStr">
        <is>
          <t>Scalp, dethatch, aerate, debris haul.</t>
        </is>
      </c>
    </row>
    <row r="10">
      <c r="A10" s="2" t="inlineStr">
        <is>
          <t>Phase 3 Labor (per 1,000 sq ft)</t>
        </is>
      </c>
      <c r="B10" s="22" t="n">
        <v>0.75</v>
      </c>
      <c r="C10" s="19" t="inlineStr">
        <is>
          <t>hours</t>
        </is>
      </c>
      <c r="D10" s="14" t="inlineStr">
        <is>
          <t>Starter fert, seed, Tenacity, peat top-dress.</t>
        </is>
      </c>
    </row>
    <row r="11">
      <c r="A11" s="2" t="inlineStr">
        <is>
          <t>Phase 4 Labor (per 1,000 sq ft)</t>
        </is>
      </c>
      <c r="B11" s="22" t="n">
        <v>0.5</v>
      </c>
      <c r="C11" s="19" t="inlineStr">
        <is>
          <t>hours</t>
        </is>
      </c>
      <c r="D11" s="14" t="inlineStr">
        <is>
          <t>Follow-up feeding + 2nd Tenacity at ~30 days.</t>
        </is>
      </c>
    </row>
    <row r="12">
      <c r="A12" s="2" t="inlineStr">
        <is>
          <t>Phase 1 Mobilization Hours</t>
        </is>
      </c>
      <c r="B12" s="22" t="n">
        <v>0.5</v>
      </c>
      <c r="C12" s="19" t="inlineStr">
        <is>
          <t>hours</t>
        </is>
      </c>
      <c r="D12" s="14" t="inlineStr">
        <is>
          <t>Drive, setup, breakdown for Phase 1.</t>
        </is>
      </c>
    </row>
    <row r="13">
      <c r="A13" s="2" t="inlineStr">
        <is>
          <t>Phase 2 Mobilization Hours</t>
        </is>
      </c>
      <c r="B13" s="22" t="n">
        <v>1</v>
      </c>
      <c r="C13" s="19" t="inlineStr">
        <is>
          <t>hours</t>
        </is>
      </c>
      <c r="D13" s="14" t="inlineStr">
        <is>
          <t>Equipment pickup/return for aerator + dethatcher.</t>
        </is>
      </c>
    </row>
    <row r="14">
      <c r="A14" s="2" t="inlineStr">
        <is>
          <t>Phase 3 Mobilization Hours</t>
        </is>
      </c>
      <c r="B14" s="22" t="n">
        <v>0.75</v>
      </c>
      <c r="C14" s="19" t="inlineStr">
        <is>
          <t>hours</t>
        </is>
      </c>
      <c r="D14" s="14" t="inlineStr">
        <is>
          <t>Material loadout, customer walk-through.</t>
        </is>
      </c>
    </row>
    <row r="15">
      <c r="A15" s="2" t="inlineStr">
        <is>
          <t>Phase 4 Mobilization Hours</t>
        </is>
      </c>
      <c r="B15" s="22" t="n">
        <v>0.5</v>
      </c>
      <c r="C15" s="19" t="inlineStr">
        <is>
          <t>hours</t>
        </is>
      </c>
      <c r="D15" s="14" t="inlineStr">
        <is>
          <t>Visit + walkthrough.</t>
        </is>
      </c>
    </row>
    <row r="16">
      <c r="A16" s="2" t="inlineStr">
        <is>
          <t>Visits per Season</t>
        </is>
      </c>
      <c r="B16" s="22" t="n">
        <v>6</v>
      </c>
      <c r="C16" s="19" t="inlineStr">
        <is>
          <t>visits</t>
        </is>
      </c>
      <c r="D16" s="14" t="inlineStr">
        <is>
          <t>Physical visits per year for the annual program (5-6 typical).</t>
        </is>
      </c>
    </row>
    <row r="17">
      <c r="A17" s="2" t="inlineStr">
        <is>
          <t>Visit Labor (per 1,000 sq ft)</t>
        </is>
      </c>
      <c r="B17" s="22" t="n">
        <v>0.35</v>
      </c>
      <c r="C17" s="19" t="inlineStr">
        <is>
          <t>hours</t>
        </is>
      </c>
      <c r="D17" s="14" t="inlineStr">
        <is>
          <t>Time per 1k sqft per physical visit (3-5 products tank-mixed).</t>
        </is>
      </c>
    </row>
    <row r="18">
      <c r="A18" s="2" t="inlineStr">
        <is>
          <t>Visit Mobilization Hours</t>
        </is>
      </c>
      <c r="B18" s="22" t="n">
        <v>0.4</v>
      </c>
      <c r="C18" s="19" t="inlineStr">
        <is>
          <t>hours</t>
        </is>
      </c>
      <c r="D18" s="14" t="inlineStr">
        <is>
          <t>Drive, mix tank, walkthrough per visit.</t>
        </is>
      </c>
    </row>
    <row r="19">
      <c r="A19" s="2" t="inlineStr">
        <is>
          <t>Single-App Labor (per 1,000 sq ft)</t>
        </is>
      </c>
      <c r="B19" s="22" t="n">
        <v>0.2</v>
      </c>
      <c r="C19" s="19" t="inlineStr">
        <is>
          <t>hours</t>
        </is>
      </c>
      <c r="D19" s="14" t="inlineStr">
        <is>
          <t>Used only for one-off service quotes outside the annual program.</t>
        </is>
      </c>
    </row>
    <row r="20">
      <c r="A20" s="2" t="inlineStr">
        <is>
          <t>Single-App Mobilization Hours</t>
        </is>
      </c>
      <c r="B20" s="22" t="n">
        <v>0.4</v>
      </c>
      <c r="C20" s="19" t="inlineStr">
        <is>
          <t>hours</t>
        </is>
      </c>
      <c r="D20" s="14" t="inlineStr">
        <is>
          <t>Used only for one-off service quotes outside the annual program.</t>
        </is>
      </c>
    </row>
    <row r="21">
      <c r="A21" s="2" t="inlineStr">
        <is>
          <t>Overseeding Labor (per 1,000 sq ft)</t>
        </is>
      </c>
      <c r="B21" s="22" t="n">
        <v>0.8</v>
      </c>
      <c r="C21" s="19" t="inlineStr">
        <is>
          <t>hours</t>
        </is>
      </c>
      <c r="D21" s="14" t="inlineStr">
        <is>
          <t>Dethatch + aerate + seed + Tenacity + peat top-dress.</t>
        </is>
      </c>
    </row>
    <row r="22">
      <c r="A22" s="2" t="inlineStr">
        <is>
          <t>Overseeding Mobilization Hours</t>
        </is>
      </c>
      <c r="B22" s="22" t="n">
        <v>1</v>
      </c>
      <c r="C22" s="19" t="inlineStr">
        <is>
          <t>hours</t>
        </is>
      </c>
      <c r="D22" s="14" t="inlineStr">
        <is>
          <t>Equipment pickup/return + customer walk-through.</t>
        </is>
      </c>
    </row>
    <row r="23">
      <c r="A23" s="2" t="inlineStr">
        <is>
          <t>Sprinkler Audit Labor (flat)</t>
        </is>
      </c>
      <c r="B23" s="22" t="n">
        <v>3</v>
      </c>
      <c r="C23" s="19" t="inlineStr">
        <is>
          <t>hours</t>
        </is>
      </c>
      <c r="D23" s="14" t="inlineStr">
        <is>
          <t>Catch cup audit + diagnose + write DU report.</t>
        </is>
      </c>
    </row>
    <row r="24">
      <c r="A24" s="2" t="inlineStr">
        <is>
          <t>Sprinkler Repair Labor (per head)</t>
        </is>
      </c>
      <c r="B24" s="22" t="n">
        <v>0.3</v>
      </c>
      <c r="C24" s="19" t="inlineStr">
        <is>
          <t>hours</t>
        </is>
      </c>
      <c r="D24" s="14" t="inlineStr">
        <is>
          <t>Replace a single sprinkler head incl. minor digging.</t>
        </is>
      </c>
    </row>
    <row r="25">
      <c r="A25" s="2" t="inlineStr">
        <is>
          <t>B-Hyve Smart Controller Install</t>
        </is>
      </c>
      <c r="B25" s="22" t="n">
        <v>1.5</v>
      </c>
      <c r="C25" s="19" t="inlineStr">
        <is>
          <t>hours</t>
        </is>
      </c>
      <c r="D25" s="14" t="inlineStr">
        <is>
          <t>FREE labor per Ryan's offer; baked into controller markup.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  <col width="16" customWidth="1" min="8" max="8"/>
    <col width="14" customWidth="1" min="9" max="9"/>
    <col width="36" customWidth="1" min="10" max="10"/>
  </cols>
  <sheetData>
    <row r="1" ht="32" customHeight="1">
      <c r="A1" s="1" t="inlineStr">
        <is>
          <t>Materials Catalog  |  Inputs (priced &amp; broken down per 1,000 sq ft)</t>
        </is>
      </c>
    </row>
    <row r="2">
      <c r="A2" s="6" t="inlineStr">
        <is>
          <t>#</t>
        </is>
      </c>
      <c r="B2" s="6" t="inlineStr">
        <is>
          <t>Product</t>
        </is>
      </c>
      <c r="C2" s="6" t="inlineStr">
        <is>
          <t>Brand</t>
        </is>
      </c>
      <c r="D2" s="6" t="inlineStr">
        <is>
          <t>Vendor</t>
        </is>
      </c>
      <c r="E2" s="6" t="inlineStr">
        <is>
          <t>Package Size</t>
        </is>
      </c>
      <c r="F2" s="6" t="inlineStr">
        <is>
          <t>Unit</t>
        </is>
      </c>
      <c r="G2" s="6" t="inlineStr">
        <is>
          <t>Package Price</t>
        </is>
      </c>
      <c r="H2" s="6" t="inlineStr">
        <is>
          <t>App Rate / 1,000 sq ft</t>
        </is>
      </c>
      <c r="I2" s="6" t="inlineStr">
        <is>
          <t>$ / 1,000 sq ft</t>
        </is>
      </c>
      <c r="J2" s="6" t="inlineStr">
        <is>
          <t>Notes</t>
        </is>
      </c>
    </row>
    <row r="3">
      <c r="A3" s="7" t="n">
        <v>1</v>
      </c>
      <c r="B3" s="8" t="inlineStr">
        <is>
          <t>Glyphosate (Roundup Super Concentrate 50%)</t>
        </is>
      </c>
      <c r="C3" s="7" t="inlineStr">
        <is>
          <t>Roundup</t>
        </is>
      </c>
      <c r="D3" s="7" t="inlineStr">
        <is>
          <t>Home Depot</t>
        </is>
      </c>
      <c r="E3" s="23" t="n">
        <v>128</v>
      </c>
      <c r="F3" s="7" t="inlineStr">
        <is>
          <t>fl oz</t>
        </is>
      </c>
      <c r="G3" s="24" t="n">
        <v>87</v>
      </c>
      <c r="H3" s="25" t="n">
        <v>6</v>
      </c>
      <c r="I3" s="10">
        <f>G3/E3*H3</f>
        <v/>
      </c>
      <c r="J3" s="26" t="inlineStr">
        <is>
          <t>Phase 1 burn-down. Rate: 6 oz product per 1,000 sq ft (mixed in 1 gal water).</t>
        </is>
      </c>
    </row>
    <row r="4">
      <c r="A4" s="7" t="n">
        <v>2</v>
      </c>
      <c r="B4" s="8" t="inlineStr">
        <is>
          <t>Non-Ionic Surfactant</t>
        </is>
      </c>
      <c r="C4" s="7" t="inlineStr">
        <is>
          <t>Southern Ag</t>
        </is>
      </c>
      <c r="D4" s="7" t="inlineStr">
        <is>
          <t>Amazon</t>
        </is>
      </c>
      <c r="E4" s="23" t="n">
        <v>16</v>
      </c>
      <c r="F4" s="7" t="inlineStr">
        <is>
          <t>fl oz</t>
        </is>
      </c>
      <c r="G4" s="24" t="n">
        <v>11</v>
      </c>
      <c r="H4" s="25" t="n">
        <v>0.5</v>
      </c>
      <c r="I4" s="10">
        <f>G4/E4*H4</f>
        <v/>
      </c>
      <c r="J4" s="26" t="inlineStr">
        <is>
          <t>0.5 oz / gal tank mix to improve glyphosate + Tenacity uptake.</t>
        </is>
      </c>
    </row>
    <row r="5">
      <c r="A5" s="7" t="n">
        <v>3</v>
      </c>
      <c r="B5" s="8" t="inlineStr">
        <is>
          <t>Tenacity Herbicide (Mesotrione)</t>
        </is>
      </c>
      <c r="C5" s="7" t="inlineStr">
        <is>
          <t>Syngenta</t>
        </is>
      </c>
      <c r="D5" s="7" t="inlineStr">
        <is>
          <t>Amazon</t>
        </is>
      </c>
      <c r="E5" s="23" t="n">
        <v>8</v>
      </c>
      <c r="F5" s="7" t="inlineStr">
        <is>
          <t>fl oz</t>
        </is>
      </c>
      <c r="G5" s="24" t="n">
        <v>63</v>
      </c>
      <c r="H5" s="25" t="n">
        <v>0.18</v>
      </c>
      <c r="I5" s="10">
        <f>G5/E5*H5</f>
        <v/>
      </c>
      <c r="J5" s="26" t="inlineStr">
        <is>
          <t>At-seeding pre-emergent. Rate: 0.18 oz / 1,000 sq ft (5 mL).</t>
        </is>
      </c>
    </row>
    <row r="6">
      <c r="A6" s="7" t="n">
        <v>4</v>
      </c>
      <c r="B6" s="8" t="inlineStr">
        <is>
          <t>Valkyrie Tall Fescue Seed</t>
        </is>
      </c>
      <c r="C6" s="7" t="inlineStr">
        <is>
          <t>United Seeds</t>
        </is>
      </c>
      <c r="D6" s="7" t="inlineStr">
        <is>
          <t>unitedseeds.com</t>
        </is>
      </c>
      <c r="E6" s="23" t="n">
        <v>50</v>
      </c>
      <c r="F6" s="7" t="inlineStr">
        <is>
          <t>lb</t>
        </is>
      </c>
      <c r="G6" s="24" t="n">
        <v>200</v>
      </c>
      <c r="H6" s="25" t="n">
        <v>10</v>
      </c>
      <c r="I6" s="10">
        <f>G6/E6*H6</f>
        <v/>
      </c>
      <c r="J6" s="26" t="inlineStr">
        <is>
          <t>Hero product. Rate: 10 lb / 1,000 sq ft for full renovation.</t>
        </is>
      </c>
    </row>
    <row r="7">
      <c r="A7" s="7" t="n">
        <v>5</v>
      </c>
      <c r="B7" s="8" t="inlineStr">
        <is>
          <t>Starter Fertilizer 24-25-4</t>
        </is>
      </c>
      <c r="C7" s="7" t="inlineStr">
        <is>
          <t>Scotts</t>
        </is>
      </c>
      <c r="D7" s="7" t="inlineStr">
        <is>
          <t>Home Depot</t>
        </is>
      </c>
      <c r="E7" s="23" t="n">
        <v>15</v>
      </c>
      <c r="F7" s="7" t="inlineStr">
        <is>
          <t>lb</t>
        </is>
      </c>
      <c r="G7" s="24" t="n">
        <v>26</v>
      </c>
      <c r="H7" s="25" t="n">
        <v>3</v>
      </c>
      <c r="I7" s="10">
        <f>G7/E7*H7</f>
        <v/>
      </c>
      <c r="J7" s="26" t="inlineStr">
        <is>
          <t>Apply at seeding. 1 bag covers 5,000 sq ft = 3 lb / 1,000.</t>
        </is>
      </c>
    </row>
    <row r="8">
      <c r="A8" s="7" t="n">
        <v>6</v>
      </c>
      <c r="B8" s="8" t="inlineStr">
        <is>
          <t>Peat Moss (3.8 cu ft compressed bale)</t>
        </is>
      </c>
      <c r="C8" s="7" t="inlineStr">
        <is>
          <t>Premier</t>
        </is>
      </c>
      <c r="D8" s="7" t="inlineStr">
        <is>
          <t>Home Depot</t>
        </is>
      </c>
      <c r="E8" s="23" t="n">
        <v>3.8</v>
      </c>
      <c r="F8" s="7" t="inlineStr">
        <is>
          <t>cu ft</t>
        </is>
      </c>
      <c r="G8" s="24" t="n">
        <v>14</v>
      </c>
      <c r="H8" s="25" t="n">
        <v>1</v>
      </c>
      <c r="I8" s="10">
        <f>G8/E8*H8</f>
        <v/>
      </c>
      <c r="J8" s="26" t="inlineStr">
        <is>
          <t>Light top-dress over seed for moisture retention. ~1 cu ft / 1,000 sq ft.</t>
        </is>
      </c>
    </row>
    <row r="9">
      <c r="A9" s="7" t="n">
        <v>7</v>
      </c>
      <c r="B9" s="8" t="inlineStr">
        <is>
          <t>Milorganite (organic slow-release N)</t>
        </is>
      </c>
      <c r="C9" s="7" t="inlineStr">
        <is>
          <t>Milorganite</t>
        </is>
      </c>
      <c r="D9" s="7" t="inlineStr">
        <is>
          <t>Home Depot</t>
        </is>
      </c>
      <c r="E9" s="23" t="n">
        <v>32</v>
      </c>
      <c r="F9" s="7" t="inlineStr">
        <is>
          <t>lb</t>
        </is>
      </c>
      <c r="G9" s="24" t="n">
        <v>24.97</v>
      </c>
      <c r="H9" s="25" t="n">
        <v>12.8</v>
      </c>
      <c r="I9" s="10">
        <f>G9/E9*H9</f>
        <v/>
      </c>
      <c r="J9" s="26" t="inlineStr">
        <is>
          <t>Phase 4 follow-up feed at week 4-6. 1 bag = 2,500 sq ft.</t>
        </is>
      </c>
    </row>
    <row r="10">
      <c r="A10" s="7" t="n">
        <v>8</v>
      </c>
      <c r="B10" s="8" t="inlineStr">
        <is>
          <t>Prodiamine 65 WDG (pre-emergent)</t>
        </is>
      </c>
      <c r="C10" s="7" t="inlineStr">
        <is>
          <t>Quali-Pro</t>
        </is>
      </c>
      <c r="D10" s="7" t="inlineStr">
        <is>
          <t>Amazon</t>
        </is>
      </c>
      <c r="E10" s="23" t="n">
        <v>5</v>
      </c>
      <c r="F10" s="7" t="inlineStr">
        <is>
          <t>lb</t>
        </is>
      </c>
      <c r="G10" s="24" t="n">
        <v>80</v>
      </c>
      <c r="H10" s="25" t="n">
        <v>0.018</v>
      </c>
      <c r="I10" s="10">
        <f>G10/E10*H10</f>
        <v/>
      </c>
      <c r="J10" s="26" t="inlineStr">
        <is>
          <t>Spring + fall pre-emergent. 0.018 lb / 1,000 sq ft per app. 1 bag treats ~275k sqft.</t>
        </is>
      </c>
    </row>
    <row r="11">
      <c r="A11" s="7" t="n">
        <v>9</v>
      </c>
      <c r="B11" s="8" t="inlineStr">
        <is>
          <t>Slow-Release Fertilizer 24-0-11</t>
        </is>
      </c>
      <c r="C11" s="7" t="inlineStr">
        <is>
          <t>Lesco</t>
        </is>
      </c>
      <c r="D11" s="7" t="inlineStr">
        <is>
          <t>SiteOne</t>
        </is>
      </c>
      <c r="E11" s="23" t="n">
        <v>50</v>
      </c>
      <c r="F11" s="7" t="inlineStr">
        <is>
          <t>lb</t>
        </is>
      </c>
      <c r="G11" s="24" t="n">
        <v>50</v>
      </c>
      <c r="H11" s="25" t="n">
        <v>4</v>
      </c>
      <c r="I11" s="10">
        <f>G11/E11*H11</f>
        <v/>
      </c>
      <c r="J11" s="26" t="inlineStr">
        <is>
          <t>Custom fertilizer program. Rate: 4 lb / 1,000 sq ft per application.</t>
        </is>
      </c>
    </row>
    <row r="12">
      <c r="A12" s="7" t="n">
        <v>10</v>
      </c>
      <c r="B12" s="8" t="inlineStr">
        <is>
          <t>Sulfate of Potash (K boost) 0-0-50</t>
        </is>
      </c>
      <c r="C12" s="7" t="inlineStr">
        <is>
          <t>Lesco</t>
        </is>
      </c>
      <c r="D12" s="7" t="inlineStr">
        <is>
          <t>SiteOne</t>
        </is>
      </c>
      <c r="E12" s="23" t="n">
        <v>50</v>
      </c>
      <c r="F12" s="7" t="inlineStr">
        <is>
          <t>lb</t>
        </is>
      </c>
      <c r="G12" s="24" t="n">
        <v>40</v>
      </c>
      <c r="H12" s="25" t="n">
        <v>2</v>
      </c>
      <c r="I12" s="10">
        <f>G12/E12*H12</f>
        <v/>
      </c>
      <c r="J12" s="26" t="inlineStr">
        <is>
          <t>Potassium boost for Utah K-deficient soils. Rate: 2 lb / 1,000 sq ft.</t>
        </is>
      </c>
    </row>
    <row r="13">
      <c r="A13" s="7" t="n">
        <v>11</v>
      </c>
      <c r="B13" s="8" t="inlineStr">
        <is>
          <t>Ferromec AC (chelated iron, liquid)</t>
        </is>
      </c>
      <c r="C13" s="7" t="inlineStr">
        <is>
          <t>PBI Gordon</t>
        </is>
      </c>
      <c r="D13" s="7" t="inlineStr">
        <is>
          <t>Amazon</t>
        </is>
      </c>
      <c r="E13" s="23" t="n">
        <v>320</v>
      </c>
      <c r="F13" s="7" t="inlineStr">
        <is>
          <t>fl oz</t>
        </is>
      </c>
      <c r="G13" s="24" t="n">
        <v>150</v>
      </c>
      <c r="H13" s="25" t="n">
        <v>4</v>
      </c>
      <c r="I13" s="10">
        <f>G13/E13*H13</f>
        <v/>
      </c>
      <c r="J13" s="26" t="inlineStr">
        <is>
          <t>Foliar iron for deep green color. Rate: 4 oz / 1,000 sq ft. 2.5-gal jug.</t>
        </is>
      </c>
    </row>
    <row r="14">
      <c r="A14" s="7" t="n">
        <v>12</v>
      </c>
      <c r="B14" s="8" t="inlineStr">
        <is>
          <t>Humic + Fulvic Acid (biostimulant)</t>
        </is>
      </c>
      <c r="C14" s="7" t="inlineStr">
        <is>
          <t>Andersons</t>
        </is>
      </c>
      <c r="D14" s="7" t="inlineStr">
        <is>
          <t>Amazon</t>
        </is>
      </c>
      <c r="E14" s="23" t="n">
        <v>320</v>
      </c>
      <c r="F14" s="7" t="inlineStr">
        <is>
          <t>fl oz</t>
        </is>
      </c>
      <c r="G14" s="24" t="n">
        <v>80</v>
      </c>
      <c r="H14" s="25" t="n">
        <v>6</v>
      </c>
      <c r="I14" s="10">
        <f>G14/E14*H14</f>
        <v/>
      </c>
      <c r="J14" s="26" t="inlineStr">
        <is>
          <t>Soil-biology biostim. Rate: 6 oz / 1,000 sq ft.</t>
        </is>
      </c>
    </row>
    <row r="15">
      <c r="A15" s="7" t="n">
        <v>13</v>
      </c>
      <c r="B15" s="8" t="inlineStr">
        <is>
          <t>Liquid Kelp Extract</t>
        </is>
      </c>
      <c r="C15" s="7" t="inlineStr">
        <is>
          <t>Neptune's</t>
        </is>
      </c>
      <c r="D15" s="7" t="inlineStr">
        <is>
          <t>Amazon</t>
        </is>
      </c>
      <c r="E15" s="23" t="n">
        <v>128</v>
      </c>
      <c r="F15" s="7" t="inlineStr">
        <is>
          <t>fl oz</t>
        </is>
      </c>
      <c r="G15" s="24" t="n">
        <v>50</v>
      </c>
      <c r="H15" s="25" t="n">
        <v>4</v>
      </c>
      <c r="I15" s="10">
        <f>G15/E15*H15</f>
        <v/>
      </c>
      <c r="J15" s="26" t="inlineStr">
        <is>
          <t>Plant biostim. Rate: 4 oz / 1,000 sq ft.</t>
        </is>
      </c>
    </row>
    <row r="16">
      <c r="A16" s="7" t="n">
        <v>14</v>
      </c>
      <c r="B16" s="8" t="inlineStr">
        <is>
          <t>Hydretain (wetting agent)</t>
        </is>
      </c>
      <c r="C16" s="7" t="inlineStr">
        <is>
          <t>Ecologel</t>
        </is>
      </c>
      <c r="D16" s="7" t="inlineStr">
        <is>
          <t>Amazon</t>
        </is>
      </c>
      <c r="E16" s="23" t="n">
        <v>320</v>
      </c>
      <c r="F16" s="7" t="inlineStr">
        <is>
          <t>fl oz</t>
        </is>
      </c>
      <c r="G16" s="24" t="n">
        <v>200</v>
      </c>
      <c r="H16" s="25" t="n">
        <v>6</v>
      </c>
      <c r="I16" s="10">
        <f>G16/E16*H16</f>
        <v/>
      </c>
      <c r="J16" s="26" t="inlineStr">
        <is>
          <t>Surfactant for UT hydrophobic clay soil. Rate: 6 oz / 1,000 sq ft.</t>
        </is>
      </c>
    </row>
    <row r="17">
      <c r="A17" s="7" t="n">
        <v>15</v>
      </c>
      <c r="B17" s="8" t="inlineStr">
        <is>
          <t>N-ext RGS (Root Growth Stimulant)</t>
        </is>
      </c>
      <c r="C17" s="7" t="inlineStr">
        <is>
          <t>Greene County</t>
        </is>
      </c>
      <c r="D17" s="7" t="inlineStr">
        <is>
          <t>Amazon</t>
        </is>
      </c>
      <c r="E17" s="23" t="n">
        <v>320</v>
      </c>
      <c r="F17" s="7" t="inlineStr">
        <is>
          <t>fl oz</t>
        </is>
      </c>
      <c r="G17" s="24" t="n">
        <v>130</v>
      </c>
      <c r="H17" s="25" t="n">
        <v>6</v>
      </c>
      <c r="I17" s="10">
        <f>G17/E17*H17</f>
        <v/>
      </c>
      <c r="J17" s="26" t="inlineStr">
        <is>
          <t>Humic + seaweed extract root stimulant. Rate: 6 oz / 1,000 sq ft. The N-ext line.</t>
        </is>
      </c>
    </row>
    <row r="18">
      <c r="A18" s="7" t="n">
        <v>16</v>
      </c>
      <c r="B18" s="8" t="inlineStr">
        <is>
          <t>Imidacloprid 0.5G (grub prevention)</t>
        </is>
      </c>
      <c r="C18" s="7" t="inlineStr">
        <is>
          <t>Bonide</t>
        </is>
      </c>
      <c r="D18" s="7" t="inlineStr">
        <is>
          <t>Amazon</t>
        </is>
      </c>
      <c r="E18" s="23" t="n">
        <v>80</v>
      </c>
      <c r="F18" s="7" t="inlineStr">
        <is>
          <t>lb</t>
        </is>
      </c>
      <c r="G18" s="24" t="n">
        <v>40</v>
      </c>
      <c r="H18" s="25" t="n">
        <v>2</v>
      </c>
      <c r="I18" s="10">
        <f>G18/E18*H18</f>
        <v/>
      </c>
      <c r="J18" s="26" t="inlineStr">
        <is>
          <t>Preventive grub control, mid-July app. Rate: 2 lb / 1,000 sq ft.</t>
        </is>
      </c>
    </row>
    <row r="19">
      <c r="A19" s="7" t="n">
        <v>17</v>
      </c>
      <c r="B19" s="8" t="inlineStr">
        <is>
          <t>Fall Winterizer 6-0-20</t>
        </is>
      </c>
      <c r="C19" s="7" t="inlineStr">
        <is>
          <t>Lesco</t>
        </is>
      </c>
      <c r="D19" s="7" t="inlineStr">
        <is>
          <t>SiteOne</t>
        </is>
      </c>
      <c r="E19" s="23" t="n">
        <v>50</v>
      </c>
      <c r="F19" s="7" t="inlineStr">
        <is>
          <t>lb</t>
        </is>
      </c>
      <c r="G19" s="24" t="n">
        <v>40</v>
      </c>
      <c r="H19" s="25" t="n">
        <v>4</v>
      </c>
      <c r="I19" s="10">
        <f>G19/E19*H19</f>
        <v/>
      </c>
      <c r="J19" s="26" t="inlineStr">
        <is>
          <t>Late-fall high-K winterizer. Rate: 4 lb / 1,000 sq ft.</t>
        </is>
      </c>
    </row>
    <row r="20">
      <c r="A20" s="7" t="n">
        <v>18</v>
      </c>
      <c r="B20" s="8" t="inlineStr">
        <is>
          <t>Propiconazole (fungicide)</t>
        </is>
      </c>
      <c r="C20" s="7" t="inlineStr">
        <is>
          <t>Quali-Pro</t>
        </is>
      </c>
      <c r="D20" s="7" t="inlineStr">
        <is>
          <t>Amazon</t>
        </is>
      </c>
      <c r="E20" s="23" t="n">
        <v>128</v>
      </c>
      <c r="F20" s="7" t="inlineStr">
        <is>
          <t>fl oz</t>
        </is>
      </c>
      <c r="G20" s="24" t="n">
        <v>100</v>
      </c>
      <c r="H20" s="25" t="n">
        <v>2</v>
      </c>
      <c r="I20" s="10">
        <f>G20/E20*H20</f>
        <v/>
      </c>
      <c r="J20" s="26" t="inlineStr">
        <is>
          <t>Dollar spot, brown patch, red thread. Rate: 2 oz / 1,000 sq ft.</t>
        </is>
      </c>
    </row>
    <row r="21">
      <c r="A21" s="7" t="n">
        <v>19</v>
      </c>
      <c r="B21" s="8" t="inlineStr">
        <is>
          <t>Soil Test Lab Fee (per sample)</t>
        </is>
      </c>
      <c r="C21" s="7" t="inlineStr">
        <is>
          <t>Logan Labs</t>
        </is>
      </c>
      <c r="D21" s="7" t="inlineStr">
        <is>
          <t>Logan Labs</t>
        </is>
      </c>
      <c r="E21" s="23" t="n">
        <v>1</v>
      </c>
      <c r="F21" s="7" t="inlineStr">
        <is>
          <t>test</t>
        </is>
      </c>
      <c r="G21" s="24" t="n">
        <v>30</v>
      </c>
      <c r="H21" s="25" t="n">
        <v>1</v>
      </c>
      <c r="I21" s="10">
        <f>G21/E21*H21</f>
        <v/>
      </c>
      <c r="J21" s="26" t="inlineStr">
        <is>
          <t>Comprehensive soil analysis lab fee. Customer pays $30 retail (a $60 value).</t>
        </is>
      </c>
    </row>
    <row r="22" ht="22" customHeight="1">
      <c r="A22" s="27" t="inlineStr">
        <is>
          <t>Per-Job Items (one-time, not scaled per sq ft)</t>
        </is>
      </c>
    </row>
    <row r="23">
      <c r="A23" s="6" t="inlineStr">
        <is>
          <t>#</t>
        </is>
      </c>
      <c r="B23" s="6" t="inlineStr">
        <is>
          <t>Product</t>
        </is>
      </c>
      <c r="C23" s="6" t="inlineStr">
        <is>
          <t>Brand</t>
        </is>
      </c>
      <c r="D23" s="6" t="inlineStr">
        <is>
          <t>Vendor</t>
        </is>
      </c>
      <c r="E23" s="6" t="inlineStr">
        <is>
          <t>Package Size</t>
        </is>
      </c>
      <c r="F23" s="6" t="inlineStr">
        <is>
          <t>Unit</t>
        </is>
      </c>
      <c r="G23" s="6" t="inlineStr">
        <is>
          <t>Package Price</t>
        </is>
      </c>
      <c r="H23" s="6" t="inlineStr">
        <is>
          <t>App Rate / 1,000 sq ft</t>
        </is>
      </c>
      <c r="I23" s="6" t="inlineStr">
        <is>
          <t>$ / 1,000 sq ft</t>
        </is>
      </c>
      <c r="J23" s="6" t="inlineStr">
        <is>
          <t>Notes</t>
        </is>
      </c>
    </row>
    <row r="24">
      <c r="A24" s="7" t="n">
        <v>1</v>
      </c>
      <c r="B24" s="8" t="inlineStr">
        <is>
          <t>Pump Sprayer 2-gal (HDX)</t>
        </is>
      </c>
      <c r="C24" s="7" t="inlineStr">
        <is>
          <t>HDX</t>
        </is>
      </c>
      <c r="D24" s="7" t="inlineStr">
        <is>
          <t>Home Depot</t>
        </is>
      </c>
      <c r="E24" s="7" t="n">
        <v>1</v>
      </c>
      <c r="F24" s="7" t="inlineStr">
        <is>
          <t>ea</t>
        </is>
      </c>
      <c r="G24" s="24" t="n">
        <v>17.47</v>
      </c>
      <c r="H24" s="7" t="n">
        <v>1</v>
      </c>
      <c r="I24" s="10">
        <f>G24*H24</f>
        <v/>
      </c>
      <c r="J24" s="26" t="inlineStr">
        <is>
          <t>One-time per job. Reusable across phases.</t>
        </is>
      </c>
    </row>
    <row r="25">
      <c r="A25" s="7" t="n">
        <v>2</v>
      </c>
      <c r="B25" s="8" t="inlineStr">
        <is>
          <t>Aerator Rental (4-hr)</t>
        </is>
      </c>
      <c r="C25" s="7" t="inlineStr">
        <is>
          <t>Bluebird</t>
        </is>
      </c>
      <c r="D25" s="7" t="inlineStr">
        <is>
          <t>Home Depot</t>
        </is>
      </c>
      <c r="E25" s="7" t="n">
        <v>1</v>
      </c>
      <c r="F25" s="7" t="inlineStr">
        <is>
          <t>rental</t>
        </is>
      </c>
      <c r="G25" s="24" t="n">
        <v>80</v>
      </c>
      <c r="H25" s="7" t="n">
        <v>1</v>
      </c>
      <c r="I25" s="10">
        <f>G25*H25</f>
        <v/>
      </c>
      <c r="J25" s="26" t="inlineStr">
        <is>
          <t>Phase 2 only. 4-hour Home Depot tool rental window.</t>
        </is>
      </c>
    </row>
    <row r="26">
      <c r="A26" s="7" t="n">
        <v>3</v>
      </c>
      <c r="B26" s="8" t="inlineStr">
        <is>
          <t>Dethatcher Rental (4-hr)</t>
        </is>
      </c>
      <c r="C26" s="7" t="inlineStr">
        <is>
          <t>Classen</t>
        </is>
      </c>
      <c r="D26" s="7" t="inlineStr">
        <is>
          <t>Home Depot</t>
        </is>
      </c>
      <c r="E26" s="7" t="n">
        <v>1</v>
      </c>
      <c r="F26" s="7" t="inlineStr">
        <is>
          <t>rental</t>
        </is>
      </c>
      <c r="G26" s="24" t="n">
        <v>75</v>
      </c>
      <c r="H26" s="7" t="n">
        <v>1</v>
      </c>
      <c r="I26" s="10">
        <f>G26*H26</f>
        <v/>
      </c>
      <c r="J26" s="26" t="inlineStr">
        <is>
          <t>Phase 2 only.</t>
        </is>
      </c>
    </row>
    <row r="27">
      <c r="A27" s="7" t="n">
        <v>4</v>
      </c>
      <c r="B27" s="8" t="inlineStr">
        <is>
          <t>Sprinkler Head (basic spray, Rain Bird 1804)</t>
        </is>
      </c>
      <c r="C27" s="7" t="inlineStr">
        <is>
          <t>Rain Bird</t>
        </is>
      </c>
      <c r="D27" s="7" t="inlineStr">
        <is>
          <t>SiteOne</t>
        </is>
      </c>
      <c r="E27" s="7" t="n">
        <v>1</v>
      </c>
      <c r="F27" s="7" t="inlineStr">
        <is>
          <t>ea</t>
        </is>
      </c>
      <c r="G27" s="24" t="n">
        <v>5</v>
      </c>
      <c r="H27" s="7" t="n">
        <v>1</v>
      </c>
      <c r="I27" s="10">
        <f>G27*H27</f>
        <v/>
      </c>
      <c r="J27" s="26" t="inlineStr">
        <is>
          <t>Per-head replacement. Stock multiple at all times.</t>
        </is>
      </c>
    </row>
    <row r="28">
      <c r="A28" s="7" t="n">
        <v>5</v>
      </c>
      <c r="B28" s="8" t="inlineStr">
        <is>
          <t>Sprinkler Rotor (Hunter PGP)</t>
        </is>
      </c>
      <c r="C28" s="7" t="inlineStr">
        <is>
          <t>Hunter</t>
        </is>
      </c>
      <c r="D28" s="7" t="inlineStr">
        <is>
          <t>SiteOne</t>
        </is>
      </c>
      <c r="E28" s="7" t="n">
        <v>1</v>
      </c>
      <c r="F28" s="7" t="inlineStr">
        <is>
          <t>ea</t>
        </is>
      </c>
      <c r="G28" s="24" t="n">
        <v>15</v>
      </c>
      <c r="H28" s="7" t="n">
        <v>1</v>
      </c>
      <c r="I28" s="10">
        <f>G28*H28</f>
        <v/>
      </c>
      <c r="J28" s="26" t="inlineStr">
        <is>
          <t>Per-rotor replacement. Larger zones.</t>
        </is>
      </c>
    </row>
    <row r="29">
      <c r="A29" s="7" t="n">
        <v>6</v>
      </c>
      <c r="B29" s="8" t="inlineStr">
        <is>
          <t>Sprinkler Valve (1-inch, Rain Bird)</t>
        </is>
      </c>
      <c r="C29" s="7" t="inlineStr">
        <is>
          <t>Rain Bird</t>
        </is>
      </c>
      <c r="D29" s="7" t="inlineStr">
        <is>
          <t>SiteOne</t>
        </is>
      </c>
      <c r="E29" s="7" t="n">
        <v>1</v>
      </c>
      <c r="F29" s="7" t="inlineStr">
        <is>
          <t>ea</t>
        </is>
      </c>
      <c r="G29" s="24" t="n">
        <v>25</v>
      </c>
      <c r="H29" s="7" t="n">
        <v>1</v>
      </c>
      <c r="I29" s="10">
        <f>G29*H29</f>
        <v/>
      </c>
      <c r="J29" s="26" t="inlineStr">
        <is>
          <t>Valve replacement when leaks/coverage issues identified.</t>
        </is>
      </c>
    </row>
    <row r="30">
      <c r="A30" s="7" t="n">
        <v>7</v>
      </c>
      <c r="B30" s="8" t="inlineStr">
        <is>
          <t>Orbit B-Hyve Smart Controller (8-zone)</t>
        </is>
      </c>
      <c r="C30" s="7" t="inlineStr">
        <is>
          <t>Orbit</t>
        </is>
      </c>
      <c r="D30" s="7" t="inlineStr">
        <is>
          <t>SiteOne</t>
        </is>
      </c>
      <c r="E30" s="7" t="n">
        <v>1</v>
      </c>
      <c r="F30" s="7" t="inlineStr">
        <is>
          <t>ea</t>
        </is>
      </c>
      <c r="G30" s="24" t="n">
        <v>130</v>
      </c>
      <c r="H30" s="7" t="n">
        <v>1</v>
      </c>
      <c r="I30" s="10">
        <f>G30*H30</f>
        <v/>
      </c>
      <c r="J30" s="26" t="inlineStr">
        <is>
          <t>Cost basis for B-Hyve install offer. Markup carries FREE install labor.</t>
        </is>
      </c>
    </row>
    <row r="32">
      <c r="A32" s="14" t="inlineStr">
        <is>
          <t>Prices reflect best-available May 2026 retail; verify before customer-facing quotes.</t>
        </is>
      </c>
    </row>
  </sheetData>
  <mergeCells count="3">
    <mergeCell ref="A22:J22"/>
    <mergeCell ref="A1:J1"/>
    <mergeCell ref="A32:J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D6A7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2" customWidth="1" min="4" max="4"/>
    <col width="18" customWidth="1" min="5" max="5"/>
    <col width="18" customWidth="1" min="6" max="6"/>
    <col width="30" customWidth="1" min="7" max="7"/>
  </cols>
  <sheetData>
    <row r="1" ht="32" customHeight="1">
      <c r="A1" s="1" t="inlineStr">
        <is>
          <t>Summer Services  |  Annual program (5-6 bundled visits/season)</t>
        </is>
      </c>
    </row>
    <row r="2" ht="22" customHeight="1">
      <c r="A2" s="27" t="inlineStr">
        <is>
          <t>Scope</t>
        </is>
      </c>
    </row>
    <row r="3" ht="58" customHeight="1">
      <c r="A3" s="3" t="inlineStr">
        <is>
          <t>Annual program. Materials are calculated per product based on apps/year (not all applied at once). Labor is calculated per physical visit -- ~6 visits/season with 3-5 products tank-mixed per visit. Customer pays for visits, not per tank-mixed product. Adjust 'Visits per Season' on the Assumptions tab to match the customer's plan.</t>
        </is>
      </c>
    </row>
    <row r="5" ht="22" customHeight="1">
      <c r="A5" s="27" t="inlineStr">
        <is>
          <t>Material Plan (per product, scales by apps/year)</t>
        </is>
      </c>
    </row>
    <row r="6">
      <c r="A6" s="6" t="inlineStr">
        <is>
          <t>#</t>
        </is>
      </c>
      <c r="B6" s="6" t="inlineStr">
        <is>
          <t>Service</t>
        </is>
      </c>
      <c r="C6" s="6" t="inlineStr">
        <is>
          <t>$ / 1,000 sf</t>
        </is>
      </c>
      <c r="D6" s="6" t="inlineStr">
        <is>
          <t># Apps</t>
        </is>
      </c>
      <c r="E6" s="6" t="inlineStr">
        <is>
          <t>Mat. cost (raw)</t>
        </is>
      </c>
      <c r="F6" s="6" t="inlineStr">
        <is>
          <t>Mat.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Pre-emergent (Prodiamine, spring + fall)</t>
        </is>
      </c>
      <c r="C7" s="9">
        <f>PreEm</f>
        <v/>
      </c>
      <c r="D7" s="28" t="n">
        <v>2</v>
      </c>
      <c r="E7" s="9">
        <f>C7*D7*(LawnSize/1000)</f>
        <v/>
      </c>
      <c r="F7" s="10">
        <f>E7*(1+Markup)</f>
        <v/>
      </c>
      <c r="G7" s="26" t="inlineStr">
        <is>
          <t>Visits 1 + 5</t>
        </is>
      </c>
    </row>
    <row r="8">
      <c r="A8" s="7" t="n">
        <v>2</v>
      </c>
      <c r="B8" s="8" t="inlineStr">
        <is>
          <t>Slow-release fertilizer</t>
        </is>
      </c>
      <c r="C8" s="9">
        <f>SlowFert</f>
        <v/>
      </c>
      <c r="D8" s="28" t="n">
        <v>4</v>
      </c>
      <c r="E8" s="9">
        <f>C8*D8*(LawnSize/1000)</f>
        <v/>
      </c>
      <c r="F8" s="10">
        <f>E8*(1+Markup)</f>
        <v/>
      </c>
      <c r="G8" s="26" t="inlineStr">
        <is>
          <t>Visits 1, 3, 5, 6</t>
        </is>
      </c>
    </row>
    <row r="9">
      <c r="A9" s="7" t="n">
        <v>3</v>
      </c>
      <c r="B9" s="8" t="inlineStr">
        <is>
          <t>Sulfate of Potash (K boost)</t>
        </is>
      </c>
      <c r="C9" s="9">
        <f>KBoost</f>
        <v/>
      </c>
      <c r="D9" s="28" t="n">
        <v>1</v>
      </c>
      <c r="E9" s="9">
        <f>C9*D9*(LawnSize/1000)</f>
        <v/>
      </c>
      <c r="F9" s="10">
        <f>E9*(1+Markup)</f>
        <v/>
      </c>
      <c r="G9" s="26" t="inlineStr">
        <is>
          <t>Visit 3 -- pre-summer</t>
        </is>
      </c>
    </row>
    <row r="10">
      <c r="A10" s="7" t="n">
        <v>4</v>
      </c>
      <c r="B10" s="8" t="inlineStr">
        <is>
          <t>Iron / Ferromec foliar (deep green)</t>
        </is>
      </c>
      <c r="C10" s="9">
        <f>Iron</f>
        <v/>
      </c>
      <c r="D10" s="28" t="n">
        <v>2</v>
      </c>
      <c r="E10" s="9">
        <f>C10*D10*(LawnSize/1000)</f>
        <v/>
      </c>
      <c r="F10" s="10">
        <f>E10*(1+Markup)</f>
        <v/>
      </c>
      <c r="G10" s="26" t="inlineStr">
        <is>
          <t>Visits 2 + 4</t>
        </is>
      </c>
    </row>
    <row r="11">
      <c r="A11" s="7" t="n">
        <v>5</v>
      </c>
      <c r="B11" s="8" t="inlineStr">
        <is>
          <t>Humic + Fulvic biostimulant</t>
        </is>
      </c>
      <c r="C11" s="9">
        <f>Humic</f>
        <v/>
      </c>
      <c r="D11" s="28" t="n">
        <v>2</v>
      </c>
      <c r="E11" s="9">
        <f>C11*D11*(LawnSize/1000)</f>
        <v/>
      </c>
      <c r="F11" s="10">
        <f>E11*(1+Markup)</f>
        <v/>
      </c>
      <c r="G11" s="26" t="inlineStr">
        <is>
          <t>Visits 2 + 5</t>
        </is>
      </c>
    </row>
    <row r="12">
      <c r="A12" s="7" t="n">
        <v>6</v>
      </c>
      <c r="B12" s="8" t="inlineStr">
        <is>
          <t>Liquid Kelp biostimulant</t>
        </is>
      </c>
      <c r="C12" s="9">
        <f>Kelp</f>
        <v/>
      </c>
      <c r="D12" s="28" t="n">
        <v>2</v>
      </c>
      <c r="E12" s="9">
        <f>C12*D12*(LawnSize/1000)</f>
        <v/>
      </c>
      <c r="F12" s="10">
        <f>E12*(1+Markup)</f>
        <v/>
      </c>
      <c r="G12" s="26" t="inlineStr">
        <is>
          <t>Visits 2 + 4 (tank w/ iron)</t>
        </is>
      </c>
    </row>
    <row r="13">
      <c r="A13" s="7" t="n">
        <v>7</v>
      </c>
      <c r="B13" s="8" t="inlineStr">
        <is>
          <t>Hydretain wetting agent</t>
        </is>
      </c>
      <c r="C13" s="9">
        <f>Hydretain</f>
        <v/>
      </c>
      <c r="D13" s="28" t="n">
        <v>1</v>
      </c>
      <c r="E13" s="9">
        <f>C13*D13*(LawnSize/1000)</f>
        <v/>
      </c>
      <c r="F13" s="10">
        <f>E13*(1+Markup)</f>
        <v/>
      </c>
      <c r="G13" s="26" t="inlineStr">
        <is>
          <t>Visit 3 -- pre-summer</t>
        </is>
      </c>
    </row>
    <row r="14">
      <c r="A14" s="7" t="n">
        <v>8</v>
      </c>
      <c r="B14" s="8" t="inlineStr">
        <is>
          <t>Root growth stimulant (N-ext RGS)</t>
        </is>
      </c>
      <c r="C14" s="9">
        <f>RGS</f>
        <v/>
      </c>
      <c r="D14" s="28" t="n">
        <v>4</v>
      </c>
      <c r="E14" s="9">
        <f>C14*D14*(LawnSize/1000)</f>
        <v/>
      </c>
      <c r="F14" s="10">
        <f>E14*(1+Markup)</f>
        <v/>
      </c>
      <c r="G14" s="26" t="inlineStr">
        <is>
          <t>Visits 2-5 monthly (Apr-Oct)</t>
        </is>
      </c>
    </row>
    <row r="15">
      <c r="A15" s="7" t="n">
        <v>9</v>
      </c>
      <c r="B15" s="8" t="inlineStr">
        <is>
          <t>Grub prevention (Imidacloprid)</t>
        </is>
      </c>
      <c r="C15" s="9">
        <f>Grub</f>
        <v/>
      </c>
      <c r="D15" s="28" t="n">
        <v>1</v>
      </c>
      <c r="E15" s="9">
        <f>C15*D15*(LawnSize/1000)</f>
        <v/>
      </c>
      <c r="F15" s="10">
        <f>E15*(1+Markup)</f>
        <v/>
      </c>
      <c r="G15" s="26" t="inlineStr">
        <is>
          <t>Visit 4 -- mid-July</t>
        </is>
      </c>
    </row>
    <row r="16">
      <c r="A16" s="7" t="n">
        <v>10</v>
      </c>
      <c r="B16" s="8" t="inlineStr">
        <is>
          <t>Fall winterizer (high-K)</t>
        </is>
      </c>
      <c r="C16" s="9">
        <f>Winter</f>
        <v/>
      </c>
      <c r="D16" s="28" t="n">
        <v>1</v>
      </c>
      <c r="E16" s="9">
        <f>C16*D16*(LawnSize/1000)</f>
        <v/>
      </c>
      <c r="F16" s="10">
        <f>E16*(1+Markup)</f>
        <v/>
      </c>
      <c r="G16" s="26" t="inlineStr">
        <is>
          <t>Visit 6 -- late Oct</t>
        </is>
      </c>
    </row>
    <row r="17">
      <c r="A17" s="7" t="n">
        <v>11</v>
      </c>
      <c r="B17" s="8" t="inlineStr">
        <is>
          <t>Fungicide (as-needed)</t>
        </is>
      </c>
      <c r="C17" s="9">
        <f>Fungicide</f>
        <v/>
      </c>
      <c r="D17" s="28" t="n">
        <v>0</v>
      </c>
      <c r="E17" s="9">
        <f>C17*D17*(LawnSize/1000)</f>
        <v/>
      </c>
      <c r="F17" s="10">
        <f>E17*(1+Markup)</f>
        <v/>
      </c>
      <c r="G17" s="26" t="inlineStr">
        <is>
          <t>Add 1-2 apps if disease pressure</t>
        </is>
      </c>
    </row>
    <row r="19">
      <c r="B19" s="2" t="inlineStr">
        <is>
          <t>MATERIALS SUBTOTAL (w/ markup)</t>
        </is>
      </c>
      <c r="F19" s="29">
        <f>F7+F8+F9+F10+F11+F12+F13+F14+F15+F16+F17</f>
        <v/>
      </c>
    </row>
    <row r="21" ht="22" customHeight="1">
      <c r="A21" s="27" t="inlineStr">
        <is>
          <t>Visit-Based Labor (per Assumptions tab)</t>
        </is>
      </c>
    </row>
    <row r="22">
      <c r="A22" s="6" t="inlineStr"/>
      <c r="B22" s="6" t="inlineStr">
        <is>
          <t>Component</t>
        </is>
      </c>
      <c r="C22" s="6" t="inlineStr">
        <is>
          <t>Calc / cell</t>
        </is>
      </c>
      <c r="D22" s="6" t="inlineStr">
        <is>
          <t>Value</t>
        </is>
      </c>
      <c r="E22" s="6" t="inlineStr"/>
      <c r="F22" s="6" t="inlineStr"/>
      <c r="G22" s="6" t="inlineStr">
        <is>
          <t>Notes</t>
        </is>
      </c>
    </row>
    <row r="23">
      <c r="A23" s="30" t="n"/>
      <c r="B23" s="8" t="inlineStr">
        <is>
          <t>Visits per season</t>
        </is>
      </c>
      <c r="C23" s="31">
        <f>VisitsPerSeason</f>
        <v/>
      </c>
      <c r="D23" s="30" t="n"/>
      <c r="E23" s="30" t="n"/>
      <c r="F23" s="30" t="n"/>
      <c r="G23" s="26" t="inlineStr">
        <is>
          <t>Adjust on Assumptions tab.</t>
        </is>
      </c>
    </row>
    <row r="24">
      <c r="A24" s="30" t="n"/>
      <c r="B24" s="8" t="inlineStr">
        <is>
          <t>Hours per visit</t>
        </is>
      </c>
      <c r="C24" s="32">
        <f>VisitHrs*(LawnSize/1000)+VisitMob</f>
        <v/>
      </c>
      <c r="D24" s="30" t="n"/>
      <c r="E24" s="30" t="n"/>
      <c r="F24" s="30" t="n"/>
      <c r="G24" s="26">
        <f> VisitHrs * (LawnSize/1000) + VisitMob</f>
        <v/>
      </c>
    </row>
    <row r="25">
      <c r="A25" s="30" t="n"/>
      <c r="B25" s="8" t="inlineStr">
        <is>
          <t>Cost per visit</t>
        </is>
      </c>
      <c r="C25" s="33">
        <f>C24*LaborRate</f>
        <v/>
      </c>
      <c r="D25" s="30" t="n"/>
      <c r="E25" s="30" t="n"/>
      <c r="F25" s="30" t="n"/>
      <c r="G25" s="30" t="n"/>
    </row>
    <row r="26">
      <c r="B26" s="2" t="inlineStr">
        <is>
          <t>LABOR SUBTOTAL (visits x cost/visit)</t>
        </is>
      </c>
      <c r="F26" s="29">
        <f>VisitsPerSeason*C25</f>
        <v/>
      </c>
    </row>
    <row r="28" ht="22" customHeight="1">
      <c r="A28" s="27" t="inlineStr">
        <is>
          <t>Diagnostic add-on (flat fee, not per-sqft)</t>
        </is>
      </c>
    </row>
    <row r="29">
      <c r="A29" s="7" t="n">
        <v>1</v>
      </c>
      <c r="B29" s="8" t="inlineStr">
        <is>
          <t>Soil test + analysis (Logan Labs)</t>
        </is>
      </c>
      <c r="C29" s="24" t="n">
        <v>30</v>
      </c>
      <c r="D29" s="28" t="n">
        <v>1</v>
      </c>
      <c r="E29" s="30" t="n"/>
      <c r="F29" s="10">
        <f>C29*D29</f>
        <v/>
      </c>
      <c r="G29" s="26" t="inlineStr">
        <is>
          <t>$30 cost = $30 to customer. Edit C to charge the '$60 value' price.</t>
        </is>
      </c>
    </row>
    <row r="31" ht="28" customHeight="1">
      <c r="B31" s="34" t="inlineStr">
        <is>
          <t>ANNUAL PROGRAM TOTAL</t>
        </is>
      </c>
      <c r="C31" s="12" t="n"/>
      <c r="D31" s="12" t="n"/>
      <c r="E31" s="12" t="n"/>
      <c r="F31" s="13">
        <f>F19+F26+F29</f>
        <v/>
      </c>
    </row>
    <row r="32">
      <c r="B32" s="14" t="inlineStr">
        <is>
          <t>Per sq ft cost (reference)</t>
        </is>
      </c>
      <c r="F32" s="35">
        <f>F31/LawnSize</f>
        <v/>
      </c>
    </row>
  </sheetData>
  <mergeCells count="6">
    <mergeCell ref="A1:G1"/>
    <mergeCell ref="A3:G3"/>
    <mergeCell ref="A21:G21"/>
    <mergeCell ref="A2:G2"/>
    <mergeCell ref="A28:G28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0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32" customHeight="1">
      <c r="A1" s="1" t="inlineStr">
        <is>
          <t>Sprinkler Services  |  Audit, repair, B-Hyve install</t>
        </is>
      </c>
    </row>
    <row r="2" ht="22" customHeight="1">
      <c r="A2" s="27" t="inlineStr">
        <is>
          <t>Scope</t>
        </is>
      </c>
    </row>
    <row r="3" ht="50" customHeight="1">
      <c r="A3" s="3" t="inlineStr">
        <is>
          <t>Year-round irrigation services. Catch cup audit produces a written DU report. Heads / rotors / valves priced per unit (parts + labor). B-Hyve smart controller install: customer pays for the controller, install labor is bundled into the markup.</t>
        </is>
      </c>
    </row>
    <row r="5">
      <c r="A5" s="6" t="inlineStr">
        <is>
          <t>#</t>
        </is>
      </c>
      <c r="B5" s="6" t="inlineStr">
        <is>
          <t>Service / Part</t>
        </is>
      </c>
      <c r="C5" s="6" t="inlineStr">
        <is>
          <t>Unit Cost</t>
        </is>
      </c>
      <c r="D5" s="6" t="inlineStr">
        <is>
          <t>Qty</t>
        </is>
      </c>
      <c r="E5" s="6" t="inlineStr">
        <is>
          <t>Parts (raw)</t>
        </is>
      </c>
      <c r="F5" s="6" t="inlineStr">
        <is>
          <t>Parts (w/ markup)</t>
        </is>
      </c>
      <c r="G5" s="6" t="inlineStr">
        <is>
          <t>Labor</t>
        </is>
      </c>
      <c r="H5" s="6" t="inlineStr">
        <is>
          <t>Line Total</t>
        </is>
      </c>
    </row>
    <row r="6">
      <c r="A6" s="7" t="n">
        <v>1</v>
      </c>
      <c r="B6" s="8" t="inlineStr">
        <is>
          <t>Catch cup distribution test + written DU report</t>
        </is>
      </c>
      <c r="C6" s="7" t="inlineStr">
        <is>
          <t>—</t>
        </is>
      </c>
      <c r="D6" s="28" t="n">
        <v>1</v>
      </c>
      <c r="E6" s="36" t="n">
        <v>0</v>
      </c>
      <c r="F6" s="36" t="n">
        <v>0</v>
      </c>
      <c r="G6" s="9">
        <f>SprAudHrs*LaborRate*D6</f>
        <v/>
      </c>
      <c r="H6" s="10">
        <f>G6</f>
        <v/>
      </c>
    </row>
    <row r="7">
      <c r="A7" s="7" t="n">
        <v>2</v>
      </c>
      <c r="B7" s="8" t="inlineStr">
        <is>
          <t>Sprinkler head replacement (basic spray)</t>
        </is>
      </c>
      <c r="C7" s="9">
        <f>SprHead</f>
        <v/>
      </c>
      <c r="D7" s="28" t="n">
        <v>0</v>
      </c>
      <c r="E7" s="9">
        <f>C7*D7</f>
        <v/>
      </c>
      <c r="F7" s="9">
        <f>E7*(1+Markup)</f>
        <v/>
      </c>
      <c r="G7" s="9">
        <f>SprHeadHrs*LaborRate*D7</f>
        <v/>
      </c>
      <c r="H7" s="10">
        <f>F7+G7</f>
        <v/>
      </c>
    </row>
    <row r="8">
      <c r="A8" s="7" t="n">
        <v>3</v>
      </c>
      <c r="B8" s="8" t="inlineStr">
        <is>
          <t>Sprinkler rotor replacement (Hunter PGP)</t>
        </is>
      </c>
      <c r="C8" s="9">
        <f>SprRotor</f>
        <v/>
      </c>
      <c r="D8" s="28" t="n">
        <v>0</v>
      </c>
      <c r="E8" s="9">
        <f>C8*D8</f>
        <v/>
      </c>
      <c r="F8" s="9">
        <f>E8*(1+Markup)</f>
        <v/>
      </c>
      <c r="G8" s="9">
        <f>SprHeadHrs*LaborRate*D8</f>
        <v/>
      </c>
      <c r="H8" s="10">
        <f>F8+G8</f>
        <v/>
      </c>
    </row>
    <row r="9">
      <c r="A9" s="7" t="n">
        <v>4</v>
      </c>
      <c r="B9" s="8" t="inlineStr">
        <is>
          <t>Sprinkler valve replacement</t>
        </is>
      </c>
      <c r="C9" s="9">
        <f>SprValve</f>
        <v/>
      </c>
      <c r="D9" s="28" t="n">
        <v>0</v>
      </c>
      <c r="E9" s="9">
        <f>C9*D9</f>
        <v/>
      </c>
      <c r="F9" s="9">
        <f>E9*(1+Markup)</f>
        <v/>
      </c>
      <c r="G9" s="9">
        <f>SprHeadHrs*LaborRate*D9</f>
        <v/>
      </c>
      <c r="H9" s="10">
        <f>F9+G9</f>
        <v/>
      </c>
    </row>
    <row r="10">
      <c r="A10" s="7" t="n">
        <v>5</v>
      </c>
      <c r="B10" s="8" t="inlineStr">
        <is>
          <t>B-Hyve smart controller (FREE install)</t>
        </is>
      </c>
      <c r="C10" s="9">
        <f>BHyve</f>
        <v/>
      </c>
      <c r="D10" s="28" t="n">
        <v>0</v>
      </c>
      <c r="E10" s="9">
        <f>C10*D10</f>
        <v/>
      </c>
      <c r="F10" s="9">
        <f>E10*(1+Markup+0.30)</f>
        <v/>
      </c>
      <c r="G10" s="7" t="inlineStr">
        <is>
          <t>$0 (free)</t>
        </is>
      </c>
      <c r="H10" s="10">
        <f>F10</f>
        <v/>
      </c>
    </row>
    <row r="12" ht="26" customHeight="1">
      <c r="B12" s="34" t="inlineStr">
        <is>
          <t>SPRINKLER SERVICES TOTAL</t>
        </is>
      </c>
      <c r="C12" s="12" t="n"/>
      <c r="D12" s="12" t="n"/>
      <c r="E12" s="12" t="n"/>
      <c r="F12" s="12" t="n"/>
      <c r="G12" s="12" t="n"/>
      <c r="H12" s="13">
        <f>H6+H7+H8+H9+H10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10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Fall Overseeding  |  Aerate + Overseed + Starter + Tenacity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Lighter than full renovation. Core aerate, broadcast seed at half the renovation rate (~5 lb / 1,000 sq ft), apply starter fertilizer + Tenacity, light peat moss top-dress. Customer's existing lawn keeps growing through germination. Aug-Oct only.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Valkyrie tall fescue (overseed rate)</t>
        </is>
      </c>
      <c r="C7" s="9">
        <f>Seed</f>
        <v/>
      </c>
      <c r="D7" s="28" t="n">
        <v>1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Starter fertilizer (24-25-4)</t>
        </is>
      </c>
      <c r="C8" s="9">
        <f>Starter</f>
        <v/>
      </c>
      <c r="D8" s="28" t="n">
        <v>1</v>
      </c>
      <c r="E8" s="9">
        <f>C8*D8*(LawnSize/1000)</f>
        <v/>
      </c>
      <c r="F8" s="10">
        <f>E8*(1+Markup)</f>
        <v/>
      </c>
      <c r="G8" s="26" t="inlineStr"/>
    </row>
    <row r="9">
      <c r="A9" s="7" t="n">
        <v>3</v>
      </c>
      <c r="B9" s="8" t="inlineStr">
        <is>
          <t>Tenacity weed prevention</t>
        </is>
      </c>
      <c r="C9" s="9">
        <f>Tenacity</f>
        <v/>
      </c>
      <c r="D9" s="28" t="n">
        <v>1</v>
      </c>
      <c r="E9" s="9">
        <f>C9*D9*(LawnSize/1000)</f>
        <v/>
      </c>
      <c r="F9" s="10">
        <f>E9*(1+Markup)</f>
        <v/>
      </c>
      <c r="G9" s="26" t="inlineStr"/>
    </row>
    <row r="10">
      <c r="A10" s="7" t="n">
        <v>4</v>
      </c>
      <c r="B10" s="8" t="inlineStr">
        <is>
          <t>Non-Ionic Surfactant</t>
        </is>
      </c>
      <c r="C10" s="9">
        <f>Surfactant</f>
        <v/>
      </c>
      <c r="D10" s="28" t="n">
        <v>1</v>
      </c>
      <c r="E10" s="9">
        <f>C10*D10*(LawnSize/1000)</f>
        <v/>
      </c>
      <c r="F10" s="10">
        <f>E10*(1+Markup)</f>
        <v/>
      </c>
      <c r="G10" s="26" t="inlineStr"/>
    </row>
    <row r="11">
      <c r="A11" s="7" t="n">
        <v>5</v>
      </c>
      <c r="B11" s="8" t="inlineStr">
        <is>
          <t>Peat moss top-dress (light)</t>
        </is>
      </c>
      <c r="C11" s="9">
        <f>Peat</f>
        <v/>
      </c>
      <c r="D11" s="28" t="n">
        <v>1</v>
      </c>
      <c r="E11" s="9">
        <f>C11*D11*(LawnSize/1000)</f>
        <v/>
      </c>
      <c r="F11" s="10">
        <f>E11*(1+Markup)</f>
        <v/>
      </c>
      <c r="G11" s="26" t="inlineStr"/>
    </row>
    <row r="12" ht="22" customHeight="1">
      <c r="A12" s="27" t="inlineStr">
        <is>
          <t>Materials  (per-job / one-time)</t>
        </is>
      </c>
    </row>
    <row r="13">
      <c r="A13" s="6" t="inlineStr">
        <is>
          <t>#</t>
        </is>
      </c>
      <c r="B13" s="6" t="inlineStr">
        <is>
          <t>Item</t>
        </is>
      </c>
      <c r="C13" s="6" t="inlineStr">
        <is>
          <t>Cost each</t>
        </is>
      </c>
      <c r="D13" s="6" t="inlineStr">
        <is>
          <t>Qty</t>
        </is>
      </c>
      <c r="E13" s="6" t="inlineStr">
        <is>
          <t>Cost (raw)</t>
        </is>
      </c>
      <c r="F13" s="6" t="inlineStr">
        <is>
          <t>Cost (w/ markup)</t>
        </is>
      </c>
      <c r="G13" s="6" t="inlineStr">
        <is>
          <t>Notes</t>
        </is>
      </c>
    </row>
    <row r="14">
      <c r="A14" s="7" t="n">
        <v>1</v>
      </c>
      <c r="B14" s="8" t="inlineStr">
        <is>
          <t>Core aerator rental (4-hr)</t>
        </is>
      </c>
      <c r="C14" s="9">
        <f>Aerator</f>
        <v/>
      </c>
      <c r="D14" s="28" t="n">
        <v>1</v>
      </c>
      <c r="E14" s="9">
        <f>C14*D14</f>
        <v/>
      </c>
      <c r="F14" s="10">
        <f>E14*(1+Markup)</f>
        <v/>
      </c>
      <c r="G14" s="26" t="inlineStr"/>
    </row>
    <row r="16">
      <c r="B16" s="2" t="inlineStr">
        <is>
          <t>MATERIALS SUBTOTAL (with markup)</t>
        </is>
      </c>
      <c r="E16" s="37">
        <f>E7+E8+E9+E10+E11+E14</f>
        <v/>
      </c>
      <c r="F16" s="29">
        <f>F7+F8+F9+F10+F11+F14</f>
        <v/>
      </c>
    </row>
    <row r="18" ht="22" customHeight="1">
      <c r="A18" s="27" t="inlineStr">
        <is>
          <t>Labor</t>
        </is>
      </c>
    </row>
    <row r="19">
      <c r="A19" s="6" t="inlineStr"/>
      <c r="B19" s="6" t="inlineStr">
        <is>
          <t>Component</t>
        </is>
      </c>
      <c r="C19" s="6" t="inlineStr">
        <is>
          <t>Hours basis</t>
        </is>
      </c>
      <c r="D19" s="6" t="inlineStr">
        <is>
          <t>Hours</t>
        </is>
      </c>
      <c r="E19" s="6" t="inlineStr">
        <is>
          <t>Rate</t>
        </is>
      </c>
      <c r="F19" s="6" t="inlineStr">
        <is>
          <t>Cost</t>
        </is>
      </c>
      <c r="G19" s="6" t="inlineStr">
        <is>
          <t>Notes</t>
        </is>
      </c>
    </row>
    <row r="20">
      <c r="A20" s="30" t="n"/>
      <c r="B20" s="8" t="inlineStr">
        <is>
          <t>Field labor (per 1,000 sq ft)</t>
        </is>
      </c>
      <c r="C20" s="7">
        <f>OvsHrs hr/1,000 sf</f>
        <v/>
      </c>
      <c r="D20" s="38">
        <f>OvsHrs*(LawnSize/1000)</f>
        <v/>
      </c>
      <c r="E20" s="9">
        <f>LaborRate</f>
        <v/>
      </c>
      <c r="F20" s="10">
        <f>D20*E20</f>
        <v/>
      </c>
      <c r="G20" s="30" t="n"/>
    </row>
    <row r="21">
      <c r="A21" s="30" t="n"/>
      <c r="B21" s="8" t="inlineStr">
        <is>
          <t>Mobilization / setup</t>
        </is>
      </c>
      <c r="C21" s="7" t="inlineStr">
        <is>
          <t>Fixed hrs/job</t>
        </is>
      </c>
      <c r="D21" s="38">
        <f>OvsMob</f>
        <v/>
      </c>
      <c r="E21" s="9">
        <f>LaborRate</f>
        <v/>
      </c>
      <c r="F21" s="10">
        <f>D21*E21</f>
        <v/>
      </c>
      <c r="G21" s="30" t="n"/>
    </row>
    <row r="22">
      <c r="B22" s="2" t="inlineStr">
        <is>
          <t>LABOR SUBTOTAL</t>
        </is>
      </c>
      <c r="F22" s="29">
        <f>F20+F21</f>
        <v/>
      </c>
    </row>
    <row r="24">
      <c r="B24" s="34" t="inlineStr">
        <is>
          <t>FALL OVERSEEDING  |  AERATE + OVERSEED + STARTER + TENACITY - PHASE TOTAL</t>
        </is>
      </c>
      <c r="C24" s="12" t="n"/>
      <c r="D24" s="12" t="n"/>
      <c r="E24" s="12" t="n"/>
      <c r="F24" s="13">
        <f>F16+F22</f>
        <v/>
      </c>
    </row>
  </sheetData>
  <mergeCells count="6">
    <mergeCell ref="A1:G1"/>
    <mergeCell ref="A18:G18"/>
    <mergeCell ref="A3:G3"/>
    <mergeCell ref="A12:G12"/>
    <mergeCell ref="A2:G2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1  |  Kill (Glyphosate Burn-Down)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Two glyphosate applications spaced 10-14 days apart. App #1 burns down all existing turf and weeds. After kill, light watering is used to germinate dormant weed seeds; App #2 kills that flush so the seedbed is clean before Phase 2 prep.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Glyphosate (Roundup Super Concentrate 50%)</t>
        </is>
      </c>
      <c r="C7" s="9">
        <f>Glyphosate</f>
        <v/>
      </c>
      <c r="D7" s="28" t="n">
        <v>2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Non-Ionic Surfactant (tank mix)</t>
        </is>
      </c>
      <c r="C8" s="9">
        <f>Surfactant</f>
        <v/>
      </c>
      <c r="D8" s="28" t="n">
        <v>2</v>
      </c>
      <c r="E8" s="9">
        <f>C8*D8*(LawnSize/1000)</f>
        <v/>
      </c>
      <c r="F8" s="10">
        <f>E8*(1+Markup)</f>
        <v/>
      </c>
      <c r="G8" s="26" t="inlineStr"/>
    </row>
    <row r="9" ht="22" customHeight="1">
      <c r="A9" s="27" t="inlineStr">
        <is>
          <t>Materials  (per-job / one-time)</t>
        </is>
      </c>
    </row>
    <row r="10">
      <c r="A10" s="6" t="inlineStr">
        <is>
          <t>#</t>
        </is>
      </c>
      <c r="B10" s="6" t="inlineStr">
        <is>
          <t>Item</t>
        </is>
      </c>
      <c r="C10" s="6" t="inlineStr">
        <is>
          <t>Cost each</t>
        </is>
      </c>
      <c r="D10" s="6" t="inlineStr">
        <is>
          <t>Qty</t>
        </is>
      </c>
      <c r="E10" s="6" t="inlineStr">
        <is>
          <t>Cost (raw)</t>
        </is>
      </c>
      <c r="F10" s="6" t="inlineStr">
        <is>
          <t>Cost (w/ markup)</t>
        </is>
      </c>
      <c r="G10" s="6" t="inlineStr">
        <is>
          <t>Notes</t>
        </is>
      </c>
    </row>
    <row r="11">
      <c r="A11" s="7" t="n">
        <v>1</v>
      </c>
      <c r="B11" s="8" t="inlineStr">
        <is>
          <t>2-gallon pump sprayer</t>
        </is>
      </c>
      <c r="C11" s="9">
        <f>Sprayer</f>
        <v/>
      </c>
      <c r="D11" s="28" t="n">
        <v>1</v>
      </c>
      <c r="E11" s="9">
        <f>C11*D11</f>
        <v/>
      </c>
      <c r="F11" s="10">
        <f>E11*(1+Markup)</f>
        <v/>
      </c>
      <c r="G11" s="26" t="inlineStr"/>
    </row>
    <row r="13">
      <c r="B13" s="2" t="inlineStr">
        <is>
          <t>MATERIALS SUBTOTAL (with markup)</t>
        </is>
      </c>
      <c r="E13" s="37">
        <f>E7+E8+E11</f>
        <v/>
      </c>
      <c r="F13" s="29">
        <f>F7+F8+F11</f>
        <v/>
      </c>
    </row>
    <row r="15" ht="22" customHeight="1">
      <c r="A15" s="27" t="inlineStr">
        <is>
          <t>Labor</t>
        </is>
      </c>
    </row>
    <row r="16">
      <c r="A16" s="6" t="inlineStr"/>
      <c r="B16" s="6" t="inlineStr">
        <is>
          <t>Component</t>
        </is>
      </c>
      <c r="C16" s="6" t="inlineStr">
        <is>
          <t>Hours basis</t>
        </is>
      </c>
      <c r="D16" s="6" t="inlineStr">
        <is>
          <t>Hours</t>
        </is>
      </c>
      <c r="E16" s="6" t="inlineStr">
        <is>
          <t>Rate</t>
        </is>
      </c>
      <c r="F16" s="6" t="inlineStr">
        <is>
          <t>Cost</t>
        </is>
      </c>
      <c r="G16" s="6" t="inlineStr">
        <is>
          <t>Notes</t>
        </is>
      </c>
    </row>
    <row r="17">
      <c r="A17" s="30" t="n"/>
      <c r="B17" s="8" t="inlineStr">
        <is>
          <t>Field labor (per 1,000 sq ft)</t>
        </is>
      </c>
      <c r="C17" s="7">
        <f>P1Hrs hr/1,000 sf</f>
        <v/>
      </c>
      <c r="D17" s="38">
        <f>P1Hrs*(LawnSize/1000)</f>
        <v/>
      </c>
      <c r="E17" s="9">
        <f>LaborRate</f>
        <v/>
      </c>
      <c r="F17" s="10">
        <f>D17*E17</f>
        <v/>
      </c>
      <c r="G17" s="30" t="n"/>
    </row>
    <row r="18">
      <c r="A18" s="30" t="n"/>
      <c r="B18" s="8" t="inlineStr">
        <is>
          <t>Mobilization / setup</t>
        </is>
      </c>
      <c r="C18" s="7" t="inlineStr">
        <is>
          <t>Fixed hrs/job</t>
        </is>
      </c>
      <c r="D18" s="38">
        <f>P1Mob</f>
        <v/>
      </c>
      <c r="E18" s="9">
        <f>LaborRate</f>
        <v/>
      </c>
      <c r="F18" s="10">
        <f>D18*E18</f>
        <v/>
      </c>
      <c r="G18" s="30" t="n"/>
    </row>
    <row r="19">
      <c r="B19" s="2" t="inlineStr">
        <is>
          <t>LABOR SUBTOTAL</t>
        </is>
      </c>
      <c r="F19" s="29">
        <f>F17+F18</f>
        <v/>
      </c>
    </row>
    <row r="21">
      <c r="B21" s="34" t="inlineStr">
        <is>
          <t>PHASE 1  |  KILL (GLYPHOSATE BURN-DOWN) - PHASE TOTAL</t>
        </is>
      </c>
      <c r="C21" s="12" t="n"/>
      <c r="D21" s="12" t="n"/>
      <c r="E21" s="12" t="n"/>
      <c r="F21" s="13">
        <f>F13+F19</f>
        <v/>
      </c>
    </row>
  </sheetData>
  <mergeCells count="6">
    <mergeCell ref="A1:G1"/>
    <mergeCell ref="A9:G9"/>
    <mergeCell ref="A3:G3"/>
    <mergeCell ref="A2:G2"/>
    <mergeCell ref="A15:G15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2  |  Prep (Scalp, Dethatch, Aerate)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Scalp the dead lawn to the lowest mower setting and bag clippings. Run the power dethatcher in two directions to lift dead thatch. Core-aerate to open the seedbed. Final cleanup leaves bare soil ready for seed-to-soil contact.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 ht="22" customHeight="1">
      <c r="A7" s="27" t="inlineStr">
        <is>
          <t>Materials  (per-job / one-time)</t>
        </is>
      </c>
    </row>
    <row r="8">
      <c r="A8" s="6" t="inlineStr">
        <is>
          <t>#</t>
        </is>
      </c>
      <c r="B8" s="6" t="inlineStr">
        <is>
          <t>Item</t>
        </is>
      </c>
      <c r="C8" s="6" t="inlineStr">
        <is>
          <t>Cost each</t>
        </is>
      </c>
      <c r="D8" s="6" t="inlineStr">
        <is>
          <t>Qty</t>
        </is>
      </c>
      <c r="E8" s="6" t="inlineStr">
        <is>
          <t>Cost (raw)</t>
        </is>
      </c>
      <c r="F8" s="6" t="inlineStr">
        <is>
          <t>Cost (w/ markup)</t>
        </is>
      </c>
      <c r="G8" s="6" t="inlineStr">
        <is>
          <t>Notes</t>
        </is>
      </c>
    </row>
    <row r="9">
      <c r="A9" s="7" t="n">
        <v>1</v>
      </c>
      <c r="B9" s="8" t="inlineStr">
        <is>
          <t>Power dethatcher rental (4-hr)</t>
        </is>
      </c>
      <c r="C9" s="9">
        <f>Dethatcher</f>
        <v/>
      </c>
      <c r="D9" s="28" t="n">
        <v>1</v>
      </c>
      <c r="E9" s="9">
        <f>C9*D9</f>
        <v/>
      </c>
      <c r="F9" s="10">
        <f>E9*(1+Markup)</f>
        <v/>
      </c>
      <c r="G9" s="26" t="inlineStr"/>
    </row>
    <row r="10">
      <c r="A10" s="7" t="n">
        <v>2</v>
      </c>
      <c r="B10" s="8" t="inlineStr">
        <is>
          <t>Core aerator rental (4-hr)</t>
        </is>
      </c>
      <c r="C10" s="9">
        <f>Aerator</f>
        <v/>
      </c>
      <c r="D10" s="28" t="n">
        <v>1</v>
      </c>
      <c r="E10" s="9">
        <f>C10*D10</f>
        <v/>
      </c>
      <c r="F10" s="10">
        <f>E10*(1+Markup)</f>
        <v/>
      </c>
      <c r="G10" s="26" t="inlineStr"/>
    </row>
    <row r="12">
      <c r="B12" s="2" t="inlineStr">
        <is>
          <t>MATERIALS SUBTOTAL (with markup)</t>
        </is>
      </c>
      <c r="E12" s="37">
        <f>E9+E10</f>
        <v/>
      </c>
      <c r="F12" s="29">
        <f>F9+F10</f>
        <v/>
      </c>
    </row>
    <row r="14" ht="22" customHeight="1">
      <c r="A14" s="27" t="inlineStr">
        <is>
          <t>Labor</t>
        </is>
      </c>
    </row>
    <row r="15">
      <c r="A15" s="6" t="inlineStr"/>
      <c r="B15" s="6" t="inlineStr">
        <is>
          <t>Component</t>
        </is>
      </c>
      <c r="C15" s="6" t="inlineStr">
        <is>
          <t>Hours basis</t>
        </is>
      </c>
      <c r="D15" s="6" t="inlineStr">
        <is>
          <t>Hours</t>
        </is>
      </c>
      <c r="E15" s="6" t="inlineStr">
        <is>
          <t>Rate</t>
        </is>
      </c>
      <c r="F15" s="6" t="inlineStr">
        <is>
          <t>Cost</t>
        </is>
      </c>
      <c r="G15" s="6" t="inlineStr">
        <is>
          <t>Notes</t>
        </is>
      </c>
    </row>
    <row r="16">
      <c r="A16" s="30" t="n"/>
      <c r="B16" s="8" t="inlineStr">
        <is>
          <t>Field labor (per 1,000 sq ft)</t>
        </is>
      </c>
      <c r="C16" s="7">
        <f>P2Hrs hr/1,000 sf</f>
        <v/>
      </c>
      <c r="D16" s="38">
        <f>P2Hrs*(LawnSize/1000)</f>
        <v/>
      </c>
      <c r="E16" s="9">
        <f>LaborRate</f>
        <v/>
      </c>
      <c r="F16" s="10">
        <f>D16*E16</f>
        <v/>
      </c>
      <c r="G16" s="30" t="n"/>
    </row>
    <row r="17">
      <c r="A17" s="30" t="n"/>
      <c r="B17" s="8" t="inlineStr">
        <is>
          <t>Mobilization / setup</t>
        </is>
      </c>
      <c r="C17" s="7" t="inlineStr">
        <is>
          <t>Fixed hrs/job</t>
        </is>
      </c>
      <c r="D17" s="38">
        <f>P2Mob</f>
        <v/>
      </c>
      <c r="E17" s="9">
        <f>LaborRate</f>
        <v/>
      </c>
      <c r="F17" s="10">
        <f>D17*E17</f>
        <v/>
      </c>
      <c r="G17" s="30" t="n"/>
    </row>
    <row r="18">
      <c r="B18" s="2" t="inlineStr">
        <is>
          <t>LABOR SUBTOTAL</t>
        </is>
      </c>
      <c r="F18" s="29">
        <f>F16+F17</f>
        <v/>
      </c>
    </row>
    <row r="20">
      <c r="B20" s="34" t="inlineStr">
        <is>
          <t>PHASE 2  |  PREP (SCALP, DETHATCH, AERATE) - PHASE TOTAL</t>
        </is>
      </c>
      <c r="C20" s="12" t="n"/>
      <c r="D20" s="12" t="n"/>
      <c r="E20" s="12" t="n"/>
      <c r="F20" s="13">
        <f>F12+F18</f>
        <v/>
      </c>
    </row>
  </sheetData>
  <mergeCells count="6">
    <mergeCell ref="A14:G14"/>
    <mergeCell ref="A1:G1"/>
    <mergeCell ref="A3:G3"/>
    <mergeCell ref="A2:G2"/>
    <mergeCell ref="A7:G7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3  |  Seed + Starter Fertilizer + Tenacity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Apply starter fertilizer, then broadcast Valkyrie seed at 10 lb / 1,000 sq ft in two directions. Tank-mix Tenacity with non-ionic surfactant and apply at 0.18 oz / 1,000 sq ft for 21 days of pre-emergent weed protection. Top-dress lightly with peat moss to retain moisture, then begin the watering schedule (light 2-3x daily until germination).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Starter fertilizer (24-25-4)</t>
        </is>
      </c>
      <c r="C7" s="9">
        <f>Starter</f>
        <v/>
      </c>
      <c r="D7" s="28" t="n">
        <v>1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Valkyrie tall fescue seed</t>
        </is>
      </c>
      <c r="C8" s="9">
        <f>Seed</f>
        <v/>
      </c>
      <c r="D8" s="28" t="n">
        <v>1</v>
      </c>
      <c r="E8" s="9">
        <f>C8*D8*(LawnSize/1000)</f>
        <v/>
      </c>
      <c r="F8" s="10">
        <f>E8*(1+Markup)</f>
        <v/>
      </c>
      <c r="G8" s="26" t="inlineStr"/>
    </row>
    <row r="9">
      <c r="A9" s="7" t="n">
        <v>3</v>
      </c>
      <c r="B9" s="8" t="inlineStr">
        <is>
          <t>Tenacity at-seeding pre-emergent</t>
        </is>
      </c>
      <c r="C9" s="9">
        <f>Tenacity</f>
        <v/>
      </c>
      <c r="D9" s="28" t="n">
        <v>1</v>
      </c>
      <c r="E9" s="9">
        <f>C9*D9*(LawnSize/1000)</f>
        <v/>
      </c>
      <c r="F9" s="10">
        <f>E9*(1+Markup)</f>
        <v/>
      </c>
      <c r="G9" s="26" t="inlineStr"/>
    </row>
    <row r="10">
      <c r="A10" s="7" t="n">
        <v>4</v>
      </c>
      <c r="B10" s="8" t="inlineStr">
        <is>
          <t>Non-Ionic Surfactant (Tenacity tank)</t>
        </is>
      </c>
      <c r="C10" s="9">
        <f>Surfactant</f>
        <v/>
      </c>
      <c r="D10" s="28" t="n">
        <v>1</v>
      </c>
      <c r="E10" s="9">
        <f>C10*D10*(LawnSize/1000)</f>
        <v/>
      </c>
      <c r="F10" s="10">
        <f>E10*(1+Markup)</f>
        <v/>
      </c>
      <c r="G10" s="26" t="inlineStr"/>
    </row>
    <row r="11">
      <c r="A11" s="7" t="n">
        <v>5</v>
      </c>
      <c r="B11" s="8" t="inlineStr">
        <is>
          <t>Peat moss top-dress</t>
        </is>
      </c>
      <c r="C11" s="9">
        <f>Peat</f>
        <v/>
      </c>
      <c r="D11" s="28" t="n">
        <v>1</v>
      </c>
      <c r="E11" s="9">
        <f>C11*D11*(LawnSize/1000)</f>
        <v/>
      </c>
      <c r="F11" s="10">
        <f>E11*(1+Markup)</f>
        <v/>
      </c>
      <c r="G11" s="26" t="inlineStr"/>
    </row>
    <row r="13">
      <c r="B13" s="2" t="inlineStr">
        <is>
          <t>MATERIALS SUBTOTAL (with markup)</t>
        </is>
      </c>
      <c r="E13" s="37">
        <f>E7+E8+E9+E10+E11</f>
        <v/>
      </c>
      <c r="F13" s="29">
        <f>F7+F8+F9+F10+F11</f>
        <v/>
      </c>
    </row>
    <row r="15" ht="22" customHeight="1">
      <c r="A15" s="27" t="inlineStr">
        <is>
          <t>Labor</t>
        </is>
      </c>
    </row>
    <row r="16">
      <c r="A16" s="6" t="inlineStr"/>
      <c r="B16" s="6" t="inlineStr">
        <is>
          <t>Component</t>
        </is>
      </c>
      <c r="C16" s="6" t="inlineStr">
        <is>
          <t>Hours basis</t>
        </is>
      </c>
      <c r="D16" s="6" t="inlineStr">
        <is>
          <t>Hours</t>
        </is>
      </c>
      <c r="E16" s="6" t="inlineStr">
        <is>
          <t>Rate</t>
        </is>
      </c>
      <c r="F16" s="6" t="inlineStr">
        <is>
          <t>Cost</t>
        </is>
      </c>
      <c r="G16" s="6" t="inlineStr">
        <is>
          <t>Notes</t>
        </is>
      </c>
    </row>
    <row r="17">
      <c r="A17" s="30" t="n"/>
      <c r="B17" s="8" t="inlineStr">
        <is>
          <t>Field labor (per 1,000 sq ft)</t>
        </is>
      </c>
      <c r="C17" s="7">
        <f>P3Hrs hr/1,000 sf</f>
        <v/>
      </c>
      <c r="D17" s="38">
        <f>P3Hrs*(LawnSize/1000)</f>
        <v/>
      </c>
      <c r="E17" s="9">
        <f>LaborRate</f>
        <v/>
      </c>
      <c r="F17" s="10">
        <f>D17*E17</f>
        <v/>
      </c>
      <c r="G17" s="30" t="n"/>
    </row>
    <row r="18">
      <c r="A18" s="30" t="n"/>
      <c r="B18" s="8" t="inlineStr">
        <is>
          <t>Mobilization / setup</t>
        </is>
      </c>
      <c r="C18" s="7" t="inlineStr">
        <is>
          <t>Fixed hrs/job</t>
        </is>
      </c>
      <c r="D18" s="38">
        <f>P3Mob</f>
        <v/>
      </c>
      <c r="E18" s="9">
        <f>LaborRate</f>
        <v/>
      </c>
      <c r="F18" s="10">
        <f>D18*E18</f>
        <v/>
      </c>
      <c r="G18" s="30" t="n"/>
    </row>
    <row r="19">
      <c r="B19" s="2" t="inlineStr">
        <is>
          <t>LABOR SUBTOTAL</t>
        </is>
      </c>
      <c r="F19" s="29">
        <f>F17+F18</f>
        <v/>
      </c>
    </row>
    <row r="21">
      <c r="B21" s="34" t="inlineStr">
        <is>
          <t>PHASE 3  |  SEED + STARTER FERTILIZER + TENACITY - PHASE TOTAL</t>
        </is>
      </c>
      <c r="C21" s="12" t="n"/>
      <c r="D21" s="12" t="n"/>
      <c r="E21" s="12" t="n"/>
      <c r="F21" s="13">
        <f>F13+F19</f>
        <v/>
      </c>
    </row>
  </sheetData>
  <mergeCells count="5">
    <mergeCell ref="A1:G1"/>
    <mergeCell ref="A3:G3"/>
    <mergeCell ref="A2:G2"/>
    <mergeCell ref="A15:G15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4  |  Establishment (Follow-up Feed + 2nd Tenacity)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Once new turf reaches the 4-week mark and has been mowed once, apply Milorganite for slow-release nitrogen. After 30 days from initial Tenacity, a second app extends pre-emergent protection while new grass continues filling in. Customer receives a written watering and mowing schedule for ongoing care.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Milorganite 4-6 week follow-up feed</t>
        </is>
      </c>
      <c r="C7" s="9">
        <f>Milo</f>
        <v/>
      </c>
      <c r="D7" s="28" t="n">
        <v>1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Tenacity 2nd app (post 30 days)</t>
        </is>
      </c>
      <c r="C8" s="9">
        <f>Tenacity</f>
        <v/>
      </c>
      <c r="D8" s="28" t="n">
        <v>1</v>
      </c>
      <c r="E8" s="9">
        <f>C8*D8*(LawnSize/1000)</f>
        <v/>
      </c>
      <c r="F8" s="10">
        <f>E8*(1+Markup)</f>
        <v/>
      </c>
      <c r="G8" s="26" t="inlineStr"/>
    </row>
    <row r="9">
      <c r="A9" s="7" t="n">
        <v>3</v>
      </c>
      <c r="B9" s="8" t="inlineStr">
        <is>
          <t>Non-Ionic Surfactant (Tenacity tank)</t>
        </is>
      </c>
      <c r="C9" s="9">
        <f>Surfactant</f>
        <v/>
      </c>
      <c r="D9" s="28" t="n">
        <v>1</v>
      </c>
      <c r="E9" s="9">
        <f>C9*D9*(LawnSize/1000)</f>
        <v/>
      </c>
      <c r="F9" s="10">
        <f>E9*(1+Markup)</f>
        <v/>
      </c>
      <c r="G9" s="26" t="inlineStr"/>
    </row>
    <row r="11">
      <c r="B11" s="2" t="inlineStr">
        <is>
          <t>MATERIALS SUBTOTAL (with markup)</t>
        </is>
      </c>
      <c r="E11" s="37">
        <f>E7+E8+E9</f>
        <v/>
      </c>
      <c r="F11" s="29">
        <f>F7+F8+F9</f>
        <v/>
      </c>
    </row>
    <row r="13" ht="22" customHeight="1">
      <c r="A13" s="27" t="inlineStr">
        <is>
          <t>Labor</t>
        </is>
      </c>
    </row>
    <row r="14">
      <c r="A14" s="6" t="inlineStr"/>
      <c r="B14" s="6" t="inlineStr">
        <is>
          <t>Component</t>
        </is>
      </c>
      <c r="C14" s="6" t="inlineStr">
        <is>
          <t>Hours basis</t>
        </is>
      </c>
      <c r="D14" s="6" t="inlineStr">
        <is>
          <t>Hours</t>
        </is>
      </c>
      <c r="E14" s="6" t="inlineStr">
        <is>
          <t>Rate</t>
        </is>
      </c>
      <c r="F14" s="6" t="inlineStr">
        <is>
          <t>Cost</t>
        </is>
      </c>
      <c r="G14" s="6" t="inlineStr">
        <is>
          <t>Notes</t>
        </is>
      </c>
    </row>
    <row r="15">
      <c r="A15" s="30" t="n"/>
      <c r="B15" s="8" t="inlineStr">
        <is>
          <t>Field labor (per 1,000 sq ft)</t>
        </is>
      </c>
      <c r="C15" s="7">
        <f>P4Hrs hr/1,000 sf</f>
        <v/>
      </c>
      <c r="D15" s="38">
        <f>P4Hrs*(LawnSize/1000)</f>
        <v/>
      </c>
      <c r="E15" s="9">
        <f>LaborRate</f>
        <v/>
      </c>
      <c r="F15" s="10">
        <f>D15*E15</f>
        <v/>
      </c>
      <c r="G15" s="30" t="n"/>
    </row>
    <row r="16">
      <c r="A16" s="30" t="n"/>
      <c r="B16" s="8" t="inlineStr">
        <is>
          <t>Mobilization / setup</t>
        </is>
      </c>
      <c r="C16" s="7" t="inlineStr">
        <is>
          <t>Fixed hrs/job</t>
        </is>
      </c>
      <c r="D16" s="38">
        <f>P4Mob</f>
        <v/>
      </c>
      <c r="E16" s="9">
        <f>LaborRate</f>
        <v/>
      </c>
      <c r="F16" s="10">
        <f>D16*E16</f>
        <v/>
      </c>
      <c r="G16" s="30" t="n"/>
    </row>
    <row r="17">
      <c r="B17" s="2" t="inlineStr">
        <is>
          <t>LABOR SUBTOTAL</t>
        </is>
      </c>
      <c r="F17" s="29">
        <f>F15+F16</f>
        <v/>
      </c>
    </row>
    <row r="19">
      <c r="B19" s="34" t="inlineStr">
        <is>
          <t>PHASE 4  |  ESTABLISHMENT (FOLLOW-UP FEED + 2ND TENACITY) - PHASE TOTAL</t>
        </is>
      </c>
      <c r="C19" s="12" t="n"/>
      <c r="D19" s="12" t="n"/>
      <c r="E19" s="12" t="n"/>
      <c r="F19" s="13">
        <f>F11+F17</f>
        <v/>
      </c>
    </row>
  </sheetData>
  <mergeCells count="5">
    <mergeCell ref="A13:G13"/>
    <mergeCell ref="A1:G1"/>
    <mergeCell ref="A3:G3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4D1F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Project Total  |  All Phases Combined</t>
        </is>
      </c>
    </row>
    <row r="2">
      <c r="A2" s="6" t="inlineStr">
        <is>
          <t>#</t>
        </is>
      </c>
      <c r="B2" s="6" t="inlineStr">
        <is>
          <t>Phase</t>
        </is>
      </c>
      <c r="C2" s="6" t="inlineStr">
        <is>
          <t>Materials (w/ markup)</t>
        </is>
      </c>
      <c r="D2" s="6" t="inlineStr">
        <is>
          <t>Labor</t>
        </is>
      </c>
      <c r="E2" s="6" t="inlineStr">
        <is>
          <t>Phase Total</t>
        </is>
      </c>
    </row>
    <row r="3">
      <c r="A3" s="7" t="inlineStr">
        <is>
          <t>1</t>
        </is>
      </c>
      <c r="B3" s="8" t="inlineStr">
        <is>
          <t>Phase 1 - Kill (glyphosate burn-down)</t>
        </is>
      </c>
      <c r="C3" s="9">
        <f>P1_Mat*(1+Markup)</f>
        <v/>
      </c>
      <c r="D3" s="9">
        <f>P1_Lab</f>
        <v/>
      </c>
      <c r="E3" s="10">
        <f>P1_Total</f>
        <v/>
      </c>
    </row>
    <row r="4">
      <c r="A4" s="7" t="inlineStr">
        <is>
          <t>2</t>
        </is>
      </c>
      <c r="B4" s="8" t="inlineStr">
        <is>
          <t>Phase 2 - Prep (scalp, dethatch, aerate)</t>
        </is>
      </c>
      <c r="C4" s="9">
        <f>P2_Mat*(1+Markup)</f>
        <v/>
      </c>
      <c r="D4" s="9">
        <f>P2_Lab</f>
        <v/>
      </c>
      <c r="E4" s="10">
        <f>P2_Total</f>
        <v/>
      </c>
    </row>
    <row r="5">
      <c r="A5" s="7" t="inlineStr">
        <is>
          <t>3</t>
        </is>
      </c>
      <c r="B5" s="8" t="inlineStr">
        <is>
          <t>Phase 3 - Seed + Starter + Tenacity</t>
        </is>
      </c>
      <c r="C5" s="9">
        <f>P3_Mat*(1+Markup)</f>
        <v/>
      </c>
      <c r="D5" s="9">
        <f>P3_Lab</f>
        <v/>
      </c>
      <c r="E5" s="10">
        <f>P3_Total</f>
        <v/>
      </c>
    </row>
    <row r="6">
      <c r="A6" s="7" t="inlineStr">
        <is>
          <t>4</t>
        </is>
      </c>
      <c r="B6" s="8" t="inlineStr">
        <is>
          <t>Phase 4 - Establishment + follow-up</t>
        </is>
      </c>
      <c r="C6" s="9">
        <f>P4_Mat*(1+Markup)</f>
        <v/>
      </c>
      <c r="D6" s="9">
        <f>P4_Lab</f>
        <v/>
      </c>
      <c r="E6" s="10">
        <f>P4_Total</f>
        <v/>
      </c>
    </row>
    <row r="8">
      <c r="B8" s="2" t="inlineStr">
        <is>
          <t>MATERIALS TOTAL (w/ markup)</t>
        </is>
      </c>
      <c r="C8" s="29">
        <f>SUM(C3:C6)</f>
        <v/>
      </c>
    </row>
    <row r="9">
      <c r="B9" s="2" t="inlineStr">
        <is>
          <t>LABOR TOTAL</t>
        </is>
      </c>
      <c r="D9" s="29">
        <f>SUM(D3:D6)</f>
        <v/>
      </c>
    </row>
    <row r="10">
      <c r="B10" s="11" t="inlineStr">
        <is>
          <t>PROJECT GRAND TOTAL</t>
        </is>
      </c>
      <c r="C10" s="12" t="n"/>
      <c r="D10" s="12" t="n"/>
      <c r="E10" s="13">
        <f>SUM(E3:E6)</f>
        <v/>
      </c>
    </row>
    <row r="12">
      <c r="B12" s="14" t="inlineStr">
        <is>
          <t>Project cost per sq ft (reference)</t>
        </is>
      </c>
      <c r="E12" s="35">
        <f>GrandTotal/LawnSize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2026-05-13T19:58:46Z</dcterms:created>
  <dcterms:modified xmlns:dcterms="http://purl.org/dc/terms/" xmlns:xsi="http://www.w3.org/2001/XMLSchema-instance" xsi:type="dcterms:W3CDTF">2026-05-13T19:58:47Z</dcterms:modified>
</cp:coreProperties>
</file>